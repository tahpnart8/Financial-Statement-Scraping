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BCTC-CRAWLING PROJECT\Financial-Statement-Scraping\doc\"/>
    </mc:Choice>
  </mc:AlternateContent>
  <xr:revisionPtr revIDLastSave="0" documentId="13_ncr:1_{220524C7-F6EA-4076-A5A5-DEE9D5D4F90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BCTC du phong" sheetId="2" r:id="rId1"/>
    <sheet name="Doanh thu" sheetId="3" r:id="rId2"/>
    <sheet name="Vốn lưu động" sheetId="4" r:id="rId3"/>
    <sheet name="TSCĐ" sheetId="5" r:id="rId4"/>
    <sheet name="Vốn CSH" sheetId="6" r:id="rId5"/>
    <sheet name="DT&amp;CP tài chính" sheetId="7" r:id="rId6"/>
    <sheet name="Định giá" sheetId="8" r:id="rId7"/>
    <sheet name="Giả định vs biểu đồ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" l="1"/>
  <c r="K11" i="3" s="1"/>
  <c r="I11" i="3"/>
  <c r="I14" i="3"/>
  <c r="J14" i="3" s="1"/>
  <c r="K14" i="3" s="1"/>
  <c r="E20" i="5" l="1"/>
  <c r="H20" i="2"/>
  <c r="E25" i="9"/>
  <c r="E28" i="9"/>
  <c r="D20" i="9"/>
  <c r="B16" i="8"/>
  <c r="C17" i="8" s="1"/>
  <c r="F28" i="6" l="1"/>
  <c r="F8" i="7"/>
  <c r="F4" i="7" l="1"/>
  <c r="C23" i="8"/>
  <c r="E11" i="3" l="1"/>
  <c r="F11" i="3"/>
  <c r="D24" i="9" s="1"/>
  <c r="C10" i="3" l="1"/>
  <c r="D11" i="3" l="1"/>
  <c r="C11" i="3"/>
  <c r="D22" i="9"/>
  <c r="E20" i="9"/>
  <c r="C27" i="8"/>
  <c r="C44" i="8" s="1"/>
  <c r="B14" i="8"/>
  <c r="F1" i="7"/>
  <c r="G1" i="7" s="1"/>
  <c r="H1" i="7" s="1"/>
  <c r="I1" i="7" s="1"/>
  <c r="J1" i="7" s="1"/>
  <c r="K1" i="7" s="1"/>
  <c r="E1" i="7"/>
  <c r="D1" i="7"/>
  <c r="C1" i="7"/>
  <c r="B1" i="7"/>
  <c r="F35" i="6"/>
  <c r="E35" i="6"/>
  <c r="D35" i="6"/>
  <c r="C35" i="6"/>
  <c r="B35" i="6"/>
  <c r="G14" i="6"/>
  <c r="F1" i="6"/>
  <c r="G1" i="6" s="1"/>
  <c r="H1" i="6" s="1"/>
  <c r="I1" i="6" s="1"/>
  <c r="J1" i="6" s="1"/>
  <c r="K1" i="6" s="1"/>
  <c r="E1" i="6"/>
  <c r="D1" i="6"/>
  <c r="C1" i="6"/>
  <c r="B1" i="6"/>
  <c r="H26" i="5"/>
  <c r="F10" i="5"/>
  <c r="E10" i="5"/>
  <c r="D10" i="5"/>
  <c r="C10" i="5"/>
  <c r="F1" i="5"/>
  <c r="G1" i="5" s="1"/>
  <c r="H1" i="5" s="1"/>
  <c r="I1" i="5" s="1"/>
  <c r="J1" i="5" s="1"/>
  <c r="K1" i="5" s="1"/>
  <c r="E1" i="5"/>
  <c r="D1" i="5"/>
  <c r="C1" i="5"/>
  <c r="B1" i="5"/>
  <c r="F1" i="4"/>
  <c r="G1" i="4" s="1"/>
  <c r="H1" i="4" s="1"/>
  <c r="I1" i="4" s="1"/>
  <c r="J1" i="4" s="1"/>
  <c r="K1" i="4" s="1"/>
  <c r="E1" i="4"/>
  <c r="D1" i="4"/>
  <c r="C1" i="4"/>
  <c r="B1" i="4"/>
  <c r="F1" i="3"/>
  <c r="G1" i="3" s="1"/>
  <c r="H1" i="3" s="1"/>
  <c r="I1" i="3" s="1"/>
  <c r="J1" i="3" s="1"/>
  <c r="K1" i="3" s="1"/>
  <c r="E1" i="3"/>
  <c r="D1" i="3"/>
  <c r="C1" i="3"/>
  <c r="B1" i="3"/>
  <c r="G22" i="7"/>
  <c r="F22" i="7"/>
  <c r="H321" i="2"/>
  <c r="F23" i="7"/>
  <c r="H317" i="2"/>
  <c r="I317" i="2" s="1"/>
  <c r="J317" i="2" s="1"/>
  <c r="K317" i="2" s="1"/>
  <c r="L317" i="2" s="1"/>
  <c r="H316" i="2"/>
  <c r="I316" i="2" s="1"/>
  <c r="J316" i="2" s="1"/>
  <c r="K316" i="2" s="1"/>
  <c r="L316" i="2" s="1"/>
  <c r="F38" i="6"/>
  <c r="E38" i="6"/>
  <c r="D38" i="6"/>
  <c r="C38" i="6"/>
  <c r="B38" i="6"/>
  <c r="C32" i="8"/>
  <c r="I306" i="2"/>
  <c r="J306" i="2" s="1"/>
  <c r="K306" i="2" s="1"/>
  <c r="L306" i="2" s="1"/>
  <c r="I305" i="2"/>
  <c r="J305" i="2" s="1"/>
  <c r="K305" i="2" s="1"/>
  <c r="L305" i="2" s="1"/>
  <c r="I304" i="2"/>
  <c r="J304" i="2" s="1"/>
  <c r="K304" i="2" s="1"/>
  <c r="L304" i="2" s="1"/>
  <c r="I303" i="2"/>
  <c r="J303" i="2" s="1"/>
  <c r="K303" i="2" s="1"/>
  <c r="L303" i="2" s="1"/>
  <c r="J302" i="2"/>
  <c r="K302" i="2" s="1"/>
  <c r="L302" i="2" s="1"/>
  <c r="I302" i="2"/>
  <c r="I301" i="2"/>
  <c r="J301" i="2" s="1"/>
  <c r="K301" i="2" s="1"/>
  <c r="L301" i="2" s="1"/>
  <c r="I300" i="2"/>
  <c r="J300" i="2" s="1"/>
  <c r="K300" i="2" s="1"/>
  <c r="L300" i="2" s="1"/>
  <c r="I299" i="2"/>
  <c r="J299" i="2" s="1"/>
  <c r="K299" i="2" s="1"/>
  <c r="L299" i="2" s="1"/>
  <c r="J298" i="2"/>
  <c r="K298" i="2" s="1"/>
  <c r="L298" i="2" s="1"/>
  <c r="I298" i="2"/>
  <c r="I297" i="2"/>
  <c r="J297" i="2" s="1"/>
  <c r="K297" i="2" s="1"/>
  <c r="L297" i="2" s="1"/>
  <c r="F35" i="5"/>
  <c r="E35" i="5"/>
  <c r="E36" i="5" s="1"/>
  <c r="D35" i="5"/>
  <c r="D36" i="5" s="1"/>
  <c r="C35" i="5"/>
  <c r="C36" i="5" s="1"/>
  <c r="B35" i="5"/>
  <c r="B36" i="5" s="1"/>
  <c r="C31" i="8"/>
  <c r="C49" i="8" s="1"/>
  <c r="C29" i="8"/>
  <c r="C46" i="8" s="1"/>
  <c r="H286" i="2"/>
  <c r="I286" i="2" s="1"/>
  <c r="J286" i="2" s="1"/>
  <c r="K286" i="2" s="1"/>
  <c r="L286" i="2" s="1"/>
  <c r="L165" i="2"/>
  <c r="K165" i="2"/>
  <c r="J165" i="2"/>
  <c r="I165" i="2"/>
  <c r="L164" i="2"/>
  <c r="K164" i="2"/>
  <c r="J164" i="2"/>
  <c r="I164" i="2"/>
  <c r="B47" i="6"/>
  <c r="H154" i="2"/>
  <c r="B46" i="6"/>
  <c r="B45" i="6"/>
  <c r="H152" i="2"/>
  <c r="H280" i="2" s="1"/>
  <c r="B44" i="6"/>
  <c r="E43" i="6"/>
  <c r="B43" i="6"/>
  <c r="B42" i="6"/>
  <c r="B41" i="6"/>
  <c r="B28" i="6"/>
  <c r="B27" i="6"/>
  <c r="B26" i="6"/>
  <c r="H145" i="2"/>
  <c r="E24" i="6"/>
  <c r="B24" i="6"/>
  <c r="H144" i="2"/>
  <c r="B23" i="6"/>
  <c r="B22" i="6"/>
  <c r="B31" i="6" s="1"/>
  <c r="B34" i="6" s="1"/>
  <c r="B21" i="6"/>
  <c r="H141" i="2"/>
  <c r="H269" i="2" s="1"/>
  <c r="E20" i="6"/>
  <c r="B20" i="6"/>
  <c r="H140" i="2"/>
  <c r="H268" i="2" s="1"/>
  <c r="B19" i="6"/>
  <c r="H139" i="2"/>
  <c r="H267" i="2" s="1"/>
  <c r="B18" i="6"/>
  <c r="C15" i="6"/>
  <c r="B15" i="6"/>
  <c r="B9" i="6"/>
  <c r="B6" i="6"/>
  <c r="B5" i="6"/>
  <c r="B4" i="6"/>
  <c r="E3" i="6"/>
  <c r="B3" i="6"/>
  <c r="H131" i="2"/>
  <c r="H259" i="2" s="1"/>
  <c r="H129" i="2"/>
  <c r="H125" i="2"/>
  <c r="E10" i="7"/>
  <c r="B10" i="7"/>
  <c r="H123" i="2"/>
  <c r="H251" i="2" s="1"/>
  <c r="H121" i="2"/>
  <c r="C84" i="4"/>
  <c r="B84" i="4"/>
  <c r="B81" i="4"/>
  <c r="B6" i="7"/>
  <c r="B78" i="4"/>
  <c r="B75" i="4"/>
  <c r="D72" i="4"/>
  <c r="B72" i="4"/>
  <c r="B69" i="4"/>
  <c r="B66" i="4"/>
  <c r="B63" i="4"/>
  <c r="A63" i="4"/>
  <c r="B60" i="4"/>
  <c r="F57" i="4"/>
  <c r="B57" i="4"/>
  <c r="B54" i="4"/>
  <c r="H90" i="2"/>
  <c r="H87" i="2"/>
  <c r="H85" i="2"/>
  <c r="B27" i="5"/>
  <c r="I83" i="2"/>
  <c r="H83" i="2"/>
  <c r="B26" i="5"/>
  <c r="C25" i="5"/>
  <c r="C32" i="5" s="1"/>
  <c r="D29" i="5" s="1"/>
  <c r="B25" i="5"/>
  <c r="B32" i="5" s="1"/>
  <c r="C29" i="5" s="1"/>
  <c r="H79" i="2"/>
  <c r="H78" i="2"/>
  <c r="D16" i="5"/>
  <c r="B16" i="5"/>
  <c r="H77" i="2"/>
  <c r="H205" i="2" s="1"/>
  <c r="C15" i="5"/>
  <c r="B15" i="5"/>
  <c r="H76" i="2"/>
  <c r="C14" i="5"/>
  <c r="B14" i="5"/>
  <c r="H75" i="2"/>
  <c r="H203" i="2" s="1"/>
  <c r="H74" i="2"/>
  <c r="H202" i="2" s="1"/>
  <c r="E5" i="5"/>
  <c r="B5" i="5"/>
  <c r="E4" i="5"/>
  <c r="B4" i="5"/>
  <c r="D3" i="5"/>
  <c r="D11" i="5" s="1"/>
  <c r="E7" i="5" s="1"/>
  <c r="B3" i="5"/>
  <c r="B11" i="5" s="1"/>
  <c r="C7" i="5" s="1"/>
  <c r="H63" i="2"/>
  <c r="H61" i="2"/>
  <c r="H189" i="2" s="1"/>
  <c r="D48" i="4"/>
  <c r="B48" i="4"/>
  <c r="F45" i="4"/>
  <c r="B45" i="4"/>
  <c r="A45" i="4"/>
  <c r="D42" i="4"/>
  <c r="B42" i="4"/>
  <c r="F39" i="4"/>
  <c r="B39" i="4"/>
  <c r="A39" i="4"/>
  <c r="D36" i="4"/>
  <c r="B36" i="4"/>
  <c r="F35" i="4"/>
  <c r="B35" i="4"/>
  <c r="A35" i="4"/>
  <c r="D32" i="4"/>
  <c r="B32" i="4"/>
  <c r="F29" i="4"/>
  <c r="B29" i="4"/>
  <c r="A29" i="4"/>
  <c r="D28" i="4"/>
  <c r="B28" i="4"/>
  <c r="F25" i="4"/>
  <c r="B25" i="4"/>
  <c r="A25" i="4"/>
  <c r="D22" i="4"/>
  <c r="B22" i="4"/>
  <c r="F19" i="4"/>
  <c r="B19" i="4"/>
  <c r="A19" i="4"/>
  <c r="D16" i="4"/>
  <c r="B16" i="4"/>
  <c r="F13" i="4"/>
  <c r="B13" i="4"/>
  <c r="A13" i="4"/>
  <c r="D10" i="4"/>
  <c r="B10" i="4"/>
  <c r="F7" i="4"/>
  <c r="B7" i="4"/>
  <c r="A7" i="4"/>
  <c r="D4" i="4"/>
  <c r="B4" i="4"/>
  <c r="F3" i="4"/>
  <c r="B3" i="4"/>
  <c r="A3" i="4"/>
  <c r="H39" i="2"/>
  <c r="F30" i="7"/>
  <c r="H164" i="2"/>
  <c r="H30" i="2"/>
  <c r="I30" i="2" s="1"/>
  <c r="J30" i="2" s="1"/>
  <c r="K30" i="2" s="1"/>
  <c r="L30" i="2" s="1"/>
  <c r="C28" i="8"/>
  <c r="F30" i="6"/>
  <c r="E30" i="6"/>
  <c r="D30" i="6"/>
  <c r="C30" i="6"/>
  <c r="B30" i="6"/>
  <c r="I17" i="2"/>
  <c r="H17" i="2"/>
  <c r="F23" i="3"/>
  <c r="E23" i="3"/>
  <c r="D23" i="3"/>
  <c r="C23" i="3"/>
  <c r="B23" i="3"/>
  <c r="F20" i="3"/>
  <c r="E20" i="3"/>
  <c r="D20" i="3"/>
  <c r="C20" i="3"/>
  <c r="B20" i="3"/>
  <c r="E15" i="7"/>
  <c r="D15" i="7"/>
  <c r="C15" i="7"/>
  <c r="B15" i="7"/>
  <c r="E4" i="7"/>
  <c r="D4" i="7"/>
  <c r="C4" i="7"/>
  <c r="B4" i="7"/>
  <c r="F3" i="7"/>
  <c r="E3" i="7"/>
  <c r="D3" i="7"/>
  <c r="C3" i="7"/>
  <c r="B3" i="7"/>
  <c r="B17" i="3"/>
  <c r="H1" i="2"/>
  <c r="I1" i="2" s="1"/>
  <c r="J1" i="2" s="1"/>
  <c r="K1" i="2" s="1"/>
  <c r="L1" i="2" s="1"/>
  <c r="I211" i="2" l="1"/>
  <c r="B36" i="6"/>
  <c r="F39" i="6"/>
  <c r="H11" i="2"/>
  <c r="I11" i="2" s="1"/>
  <c r="J11" i="2" s="1"/>
  <c r="K11" i="2" s="1"/>
  <c r="L11" i="2" s="1"/>
  <c r="D27" i="8"/>
  <c r="H249" i="2"/>
  <c r="I121" i="2"/>
  <c r="H273" i="2"/>
  <c r="I145" i="2"/>
  <c r="I273" i="2" s="1"/>
  <c r="H207" i="2"/>
  <c r="I79" i="2"/>
  <c r="H218" i="2"/>
  <c r="I90" i="2"/>
  <c r="I218" i="2" s="1"/>
  <c r="H253" i="2"/>
  <c r="I125" i="2"/>
  <c r="H257" i="2"/>
  <c r="I129" i="2"/>
  <c r="H272" i="2"/>
  <c r="I144" i="2"/>
  <c r="I272" i="2" s="1"/>
  <c r="H191" i="2"/>
  <c r="I63" i="2"/>
  <c r="H206" i="2"/>
  <c r="I78" i="2"/>
  <c r="I206" i="2" s="1"/>
  <c r="H215" i="2"/>
  <c r="I87" i="2"/>
  <c r="I215" i="2" s="1"/>
  <c r="H66" i="2"/>
  <c r="I75" i="2"/>
  <c r="H81" i="2"/>
  <c r="H209" i="2" s="1"/>
  <c r="H94" i="2"/>
  <c r="H97" i="2"/>
  <c r="H225" i="2" s="1"/>
  <c r="H120" i="2"/>
  <c r="H128" i="2"/>
  <c r="I140" i="2"/>
  <c r="I268" i="2" s="1"/>
  <c r="I141" i="2"/>
  <c r="H37" i="2"/>
  <c r="I37" i="2" s="1"/>
  <c r="H30" i="7" s="1"/>
  <c r="H73" i="2"/>
  <c r="H201" i="2" s="1"/>
  <c r="I74" i="2"/>
  <c r="I202" i="2" s="1"/>
  <c r="H65" i="2"/>
  <c r="H193" i="2" s="1"/>
  <c r="H211" i="2"/>
  <c r="H86" i="2"/>
  <c r="H214" i="2" s="1"/>
  <c r="H93" i="2"/>
  <c r="H221" i="2" s="1"/>
  <c r="B52" i="4"/>
  <c r="H116" i="2"/>
  <c r="H119" i="2"/>
  <c r="H247" i="2" s="1"/>
  <c r="H127" i="2"/>
  <c r="H255" i="2" s="1"/>
  <c r="B23" i="4"/>
  <c r="H62" i="2"/>
  <c r="H89" i="2"/>
  <c r="H217" i="2" s="1"/>
  <c r="H115" i="2"/>
  <c r="H243" i="2" s="1"/>
  <c r="H124" i="2"/>
  <c r="C6" i="3"/>
  <c r="B6" i="3"/>
  <c r="E6" i="3"/>
  <c r="J17" i="2"/>
  <c r="D31" i="9"/>
  <c r="H24" i="2"/>
  <c r="C17" i="3"/>
  <c r="C18" i="8"/>
  <c r="D30" i="9"/>
  <c r="H204" i="2"/>
  <c r="I76" i="2"/>
  <c r="H168" i="2"/>
  <c r="I39" i="2"/>
  <c r="G31" i="7"/>
  <c r="H213" i="2"/>
  <c r="I85" i="2"/>
  <c r="D17" i="3"/>
  <c r="D6" i="3"/>
  <c r="D13" i="3" s="1"/>
  <c r="F6" i="3"/>
  <c r="F24" i="7" s="1"/>
  <c r="C39" i="8"/>
  <c r="E26" i="5"/>
  <c r="F27" i="5"/>
  <c r="C54" i="4"/>
  <c r="D57" i="4"/>
  <c r="D58" i="4" s="1"/>
  <c r="A60" i="4"/>
  <c r="E60" i="4"/>
  <c r="E61" i="4" s="1"/>
  <c r="B64" i="4"/>
  <c r="F63" i="4"/>
  <c r="C66" i="4"/>
  <c r="C67" i="4" s="1"/>
  <c r="D69" i="4"/>
  <c r="D70" i="4" s="1"/>
  <c r="A72" i="4"/>
  <c r="E72" i="4"/>
  <c r="E73" i="4" s="1"/>
  <c r="B76" i="4"/>
  <c r="F75" i="4"/>
  <c r="C78" i="4"/>
  <c r="C79" i="4" s="1"/>
  <c r="D6" i="7"/>
  <c r="D19" i="7" s="1"/>
  <c r="A81" i="4"/>
  <c r="E81" i="4"/>
  <c r="F84" i="4"/>
  <c r="A3" i="6"/>
  <c r="F4" i="6"/>
  <c r="C5" i="6"/>
  <c r="D6" i="6"/>
  <c r="A9" i="6"/>
  <c r="E9" i="6"/>
  <c r="F15" i="6"/>
  <c r="G15" i="6" s="1"/>
  <c r="H15" i="6" s="1"/>
  <c r="I15" i="6" s="1"/>
  <c r="J15" i="6" s="1"/>
  <c r="K15" i="6" s="1"/>
  <c r="C18" i="6"/>
  <c r="D19" i="6"/>
  <c r="A20" i="6"/>
  <c r="F21" i="6"/>
  <c r="G21" i="6" s="1"/>
  <c r="H21" i="6" s="1"/>
  <c r="I21" i="6" s="1"/>
  <c r="J21" i="6" s="1"/>
  <c r="K21" i="6" s="1"/>
  <c r="C22" i="6"/>
  <c r="C31" i="6" s="1"/>
  <c r="C32" i="6" s="1"/>
  <c r="D23" i="6"/>
  <c r="C26" i="6"/>
  <c r="C36" i="6" s="1"/>
  <c r="F27" i="6"/>
  <c r="A42" i="6"/>
  <c r="E42" i="6"/>
  <c r="D43" i="6"/>
  <c r="A44" i="6"/>
  <c r="E44" i="6"/>
  <c r="D3" i="4"/>
  <c r="E4" i="4"/>
  <c r="C10" i="4"/>
  <c r="C11" i="4" s="1"/>
  <c r="A16" i="4"/>
  <c r="B20" i="4"/>
  <c r="C22" i="4"/>
  <c r="A28" i="4"/>
  <c r="C32" i="4"/>
  <c r="D35" i="4"/>
  <c r="E36" i="4"/>
  <c r="E37" i="4" s="1"/>
  <c r="B40" i="4"/>
  <c r="A48" i="4"/>
  <c r="A4" i="5"/>
  <c r="A26" i="5"/>
  <c r="E17" i="3"/>
  <c r="E3" i="4"/>
  <c r="F4" i="4"/>
  <c r="C7" i="4"/>
  <c r="C8" i="4" s="1"/>
  <c r="D11" i="4"/>
  <c r="E13" i="4"/>
  <c r="E14" i="4" s="1"/>
  <c r="B17" i="4"/>
  <c r="F16" i="4"/>
  <c r="C19" i="4"/>
  <c r="C20" i="4" s="1"/>
  <c r="D23" i="4"/>
  <c r="E25" i="4"/>
  <c r="E26" i="4" s="1"/>
  <c r="F28" i="4"/>
  <c r="C29" i="4"/>
  <c r="E35" i="4"/>
  <c r="B37" i="4"/>
  <c r="F36" i="4"/>
  <c r="C39" i="4"/>
  <c r="C40" i="4" s="1"/>
  <c r="D43" i="4"/>
  <c r="E45" i="4"/>
  <c r="E46" i="4" s="1"/>
  <c r="B49" i="4"/>
  <c r="F48" i="4"/>
  <c r="I61" i="2"/>
  <c r="H64" i="2"/>
  <c r="H68" i="2"/>
  <c r="A3" i="5"/>
  <c r="E3" i="5"/>
  <c r="E11" i="5" s="1"/>
  <c r="F7" i="5" s="1"/>
  <c r="F4" i="5"/>
  <c r="E19" i="5" s="1"/>
  <c r="E21" i="5" s="1"/>
  <c r="C5" i="5"/>
  <c r="D15" i="5"/>
  <c r="I77" i="2"/>
  <c r="A16" i="5"/>
  <c r="E16" i="5"/>
  <c r="J78" i="2"/>
  <c r="H80" i="2"/>
  <c r="A25" i="5"/>
  <c r="E25" i="5"/>
  <c r="E32" i="5" s="1"/>
  <c r="F29" i="5" s="1"/>
  <c r="F26" i="5"/>
  <c r="C27" i="5"/>
  <c r="H88" i="2"/>
  <c r="H92" i="2"/>
  <c r="H96" i="2"/>
  <c r="D54" i="4"/>
  <c r="A57" i="4"/>
  <c r="E57" i="4"/>
  <c r="E58" i="4" s="1"/>
  <c r="B61" i="4"/>
  <c r="F60" i="4"/>
  <c r="C63" i="4"/>
  <c r="C64" i="4" s="1"/>
  <c r="D66" i="4"/>
  <c r="D67" i="4" s="1"/>
  <c r="A69" i="4"/>
  <c r="E69" i="4"/>
  <c r="E70" i="4" s="1"/>
  <c r="B73" i="4"/>
  <c r="F72" i="4"/>
  <c r="C75" i="4"/>
  <c r="C76" i="4" s="1"/>
  <c r="D78" i="4"/>
  <c r="D79" i="4" s="1"/>
  <c r="E6" i="7"/>
  <c r="E19" i="7" s="1"/>
  <c r="G19" i="7" s="1"/>
  <c r="B82" i="4"/>
  <c r="F81" i="4"/>
  <c r="H118" i="2"/>
  <c r="I119" i="2"/>
  <c r="H122" i="2"/>
  <c r="I123" i="2"/>
  <c r="C58" i="8"/>
  <c r="F10" i="7"/>
  <c r="H126" i="2"/>
  <c r="H130" i="2"/>
  <c r="I131" i="2"/>
  <c r="F3" i="6"/>
  <c r="C4" i="6"/>
  <c r="D5" i="6"/>
  <c r="A6" i="6"/>
  <c r="E6" i="6"/>
  <c r="F9" i="6"/>
  <c r="G9" i="6" s="1"/>
  <c r="H138" i="2"/>
  <c r="D18" i="6"/>
  <c r="I139" i="2"/>
  <c r="A19" i="6"/>
  <c r="E19" i="6"/>
  <c r="F20" i="6"/>
  <c r="G20" i="6" s="1"/>
  <c r="H20" i="6" s="1"/>
  <c r="I20" i="6" s="1"/>
  <c r="J20" i="6" s="1"/>
  <c r="K20" i="6" s="1"/>
  <c r="C21" i="6"/>
  <c r="H142" i="2"/>
  <c r="D22" i="6"/>
  <c r="D31" i="6" s="1"/>
  <c r="D32" i="6" s="1"/>
  <c r="A23" i="6"/>
  <c r="E23" i="6"/>
  <c r="J144" i="2"/>
  <c r="F24" i="6"/>
  <c r="G24" i="6" s="1"/>
  <c r="H24" i="6" s="1"/>
  <c r="I24" i="6" s="1"/>
  <c r="J24" i="6" s="1"/>
  <c r="K24" i="6" s="1"/>
  <c r="D26" i="6"/>
  <c r="D36" i="6" s="1"/>
  <c r="C28" i="6"/>
  <c r="F41" i="6"/>
  <c r="G41" i="6" s="1"/>
  <c r="H41" i="6" s="1"/>
  <c r="I41" i="6" s="1"/>
  <c r="J41" i="6" s="1"/>
  <c r="K41" i="6" s="1"/>
  <c r="H149" i="2"/>
  <c r="F45" i="6"/>
  <c r="G45" i="6" s="1"/>
  <c r="H45" i="6" s="1"/>
  <c r="I45" i="6" s="1"/>
  <c r="J45" i="6" s="1"/>
  <c r="K45" i="6" s="1"/>
  <c r="H153" i="2"/>
  <c r="C46" i="6"/>
  <c r="H282" i="2"/>
  <c r="I154" i="2"/>
  <c r="C45" i="8"/>
  <c r="H165" i="2"/>
  <c r="H40" i="2"/>
  <c r="A4" i="4"/>
  <c r="D13" i="4"/>
  <c r="D14" i="4" s="1"/>
  <c r="E16" i="4"/>
  <c r="E17" i="4" s="1"/>
  <c r="D25" i="4"/>
  <c r="D26" i="4" s="1"/>
  <c r="E28" i="4"/>
  <c r="A36" i="4"/>
  <c r="C42" i="4"/>
  <c r="C43" i="4" s="1"/>
  <c r="D45" i="4"/>
  <c r="D46" i="4" s="1"/>
  <c r="E48" i="4"/>
  <c r="E49" i="4" s="1"/>
  <c r="F5" i="5"/>
  <c r="F14" i="5"/>
  <c r="G14" i="5" s="1"/>
  <c r="H14" i="5" s="1"/>
  <c r="I14" i="5" s="1"/>
  <c r="J14" i="5" s="1"/>
  <c r="K14" i="5" s="1"/>
  <c r="D25" i="5"/>
  <c r="D32" i="5" s="1"/>
  <c r="E29" i="5" s="1"/>
  <c r="F17" i="3"/>
  <c r="C47" i="8"/>
  <c r="F15" i="7"/>
  <c r="F16" i="7" s="1"/>
  <c r="H38" i="2"/>
  <c r="C4" i="4"/>
  <c r="C5" i="4" s="1"/>
  <c r="D7" i="4"/>
  <c r="A10" i="4"/>
  <c r="E10" i="4"/>
  <c r="E11" i="4" s="1"/>
  <c r="B14" i="4"/>
  <c r="F14" i="4"/>
  <c r="C16" i="4"/>
  <c r="C17" i="4" s="1"/>
  <c r="D19" i="4"/>
  <c r="D20" i="4" s="1"/>
  <c r="A22" i="4"/>
  <c r="E22" i="4"/>
  <c r="B26" i="4"/>
  <c r="C28" i="4"/>
  <c r="D29" i="4"/>
  <c r="D33" i="4" s="1"/>
  <c r="A32" i="4"/>
  <c r="E32" i="4"/>
  <c r="C36" i="4"/>
  <c r="C37" i="4" s="1"/>
  <c r="D39" i="4"/>
  <c r="D40" i="4" s="1"/>
  <c r="A42" i="4"/>
  <c r="E42" i="4"/>
  <c r="E43" i="4" s="1"/>
  <c r="B46" i="4"/>
  <c r="C48" i="4"/>
  <c r="C49" i="4" s="1"/>
  <c r="H67" i="2"/>
  <c r="F3" i="5"/>
  <c r="F11" i="5" s="1"/>
  <c r="G7" i="5" s="1"/>
  <c r="C4" i="5"/>
  <c r="D5" i="5"/>
  <c r="D14" i="5"/>
  <c r="A15" i="5"/>
  <c r="E15" i="5"/>
  <c r="F16" i="5"/>
  <c r="F25" i="5"/>
  <c r="F32" i="5" s="1"/>
  <c r="G29" i="5" s="1"/>
  <c r="C26" i="5"/>
  <c r="D27" i="5"/>
  <c r="H91" i="2"/>
  <c r="H95" i="2"/>
  <c r="A54" i="4"/>
  <c r="E54" i="4"/>
  <c r="B58" i="4"/>
  <c r="C60" i="4"/>
  <c r="C61" i="4" s="1"/>
  <c r="D63" i="4"/>
  <c r="D64" i="4" s="1"/>
  <c r="A66" i="4"/>
  <c r="E66" i="4"/>
  <c r="E67" i="4" s="1"/>
  <c r="B70" i="4"/>
  <c r="F69" i="4"/>
  <c r="C72" i="4"/>
  <c r="C73" i="4" s="1"/>
  <c r="D75" i="4"/>
  <c r="D76" i="4" s="1"/>
  <c r="A78" i="4"/>
  <c r="E78" i="4"/>
  <c r="E79" i="4" s="1"/>
  <c r="B19" i="7"/>
  <c r="F6" i="7"/>
  <c r="C81" i="4"/>
  <c r="D84" i="4"/>
  <c r="C10" i="7"/>
  <c r="C3" i="6"/>
  <c r="D4" i="6"/>
  <c r="A5" i="6"/>
  <c r="E5" i="6"/>
  <c r="F6" i="6"/>
  <c r="G6" i="6" s="1"/>
  <c r="C9" i="6"/>
  <c r="D15" i="6"/>
  <c r="A18" i="6"/>
  <c r="E18" i="6"/>
  <c r="F19" i="6"/>
  <c r="G19" i="6" s="1"/>
  <c r="H19" i="6" s="1"/>
  <c r="I19" i="6" s="1"/>
  <c r="J19" i="6" s="1"/>
  <c r="K19" i="6" s="1"/>
  <c r="C20" i="6"/>
  <c r="D21" i="6"/>
  <c r="A22" i="6"/>
  <c r="E22" i="6"/>
  <c r="E31" i="6" s="1"/>
  <c r="F23" i="6"/>
  <c r="G23" i="6" s="1"/>
  <c r="H23" i="6" s="1"/>
  <c r="I23" i="6" s="1"/>
  <c r="J23" i="6" s="1"/>
  <c r="K23" i="6" s="1"/>
  <c r="C24" i="6"/>
  <c r="A26" i="6"/>
  <c r="E26" i="6"/>
  <c r="E36" i="6" s="1"/>
  <c r="D27" i="6"/>
  <c r="C42" i="6"/>
  <c r="D47" i="6"/>
  <c r="C3" i="4"/>
  <c r="E7" i="4"/>
  <c r="F8" i="4" s="1"/>
  <c r="B11" i="4"/>
  <c r="F10" i="4"/>
  <c r="C13" i="4"/>
  <c r="C14" i="4" s="1"/>
  <c r="D17" i="4"/>
  <c r="E19" i="4"/>
  <c r="E20" i="4" s="1"/>
  <c r="F22" i="4"/>
  <c r="F23" i="4" s="1"/>
  <c r="C25" i="4"/>
  <c r="C26" i="4" s="1"/>
  <c r="E29" i="4"/>
  <c r="F30" i="4" s="1"/>
  <c r="B33" i="4"/>
  <c r="F32" i="4"/>
  <c r="F33" i="4" s="1"/>
  <c r="C35" i="4"/>
  <c r="D37" i="4"/>
  <c r="E39" i="4"/>
  <c r="E40" i="4" s="1"/>
  <c r="B43" i="4"/>
  <c r="F42" i="4"/>
  <c r="C45" i="4"/>
  <c r="C46" i="4" s="1"/>
  <c r="D49" i="4"/>
  <c r="C3" i="5"/>
  <c r="C11" i="5" s="1"/>
  <c r="D7" i="5" s="1"/>
  <c r="D4" i="5"/>
  <c r="A5" i="5"/>
  <c r="A14" i="5"/>
  <c r="E14" i="5"/>
  <c r="F15" i="5"/>
  <c r="C16" i="5"/>
  <c r="D26" i="5"/>
  <c r="A27" i="5"/>
  <c r="E27" i="5"/>
  <c r="F31" i="7"/>
  <c r="F54" i="4"/>
  <c r="C57" i="4"/>
  <c r="C58" i="4" s="1"/>
  <c r="D60" i="4"/>
  <c r="D61" i="4" s="1"/>
  <c r="E63" i="4"/>
  <c r="E64" i="4" s="1"/>
  <c r="B67" i="4"/>
  <c r="F66" i="4"/>
  <c r="C69" i="4"/>
  <c r="C70" i="4" s="1"/>
  <c r="D73" i="4"/>
  <c r="A75" i="4"/>
  <c r="E75" i="4"/>
  <c r="E76" i="4" s="1"/>
  <c r="B79" i="4"/>
  <c r="F78" i="4"/>
  <c r="C6" i="7"/>
  <c r="C19" i="7" s="1"/>
  <c r="D81" i="4"/>
  <c r="E84" i="4"/>
  <c r="D10" i="7"/>
  <c r="D3" i="6"/>
  <c r="A4" i="6"/>
  <c r="E4" i="6"/>
  <c r="C41" i="8"/>
  <c r="C60" i="8" s="1"/>
  <c r="F5" i="6"/>
  <c r="G5" i="6" s="1"/>
  <c r="C6" i="6"/>
  <c r="D9" i="6"/>
  <c r="A15" i="6"/>
  <c r="E15" i="6"/>
  <c r="F18" i="6"/>
  <c r="G18" i="6" s="1"/>
  <c r="H18" i="6" s="1"/>
  <c r="I18" i="6" s="1"/>
  <c r="J18" i="6" s="1"/>
  <c r="K18" i="6" s="1"/>
  <c r="C19" i="6"/>
  <c r="D20" i="6"/>
  <c r="A21" i="6"/>
  <c r="E21" i="6"/>
  <c r="F22" i="6"/>
  <c r="F31" i="6" s="1"/>
  <c r="C23" i="6"/>
  <c r="D24" i="6"/>
  <c r="A28" i="6"/>
  <c r="E28" i="6"/>
  <c r="D41" i="6"/>
  <c r="A27" i="6"/>
  <c r="E27" i="6"/>
  <c r="C41" i="6"/>
  <c r="D42" i="6"/>
  <c r="A43" i="6"/>
  <c r="F44" i="6"/>
  <c r="G44" i="6" s="1"/>
  <c r="H44" i="6" s="1"/>
  <c r="I44" i="6" s="1"/>
  <c r="J44" i="6" s="1"/>
  <c r="K44" i="6" s="1"/>
  <c r="C45" i="6"/>
  <c r="D46" i="6"/>
  <c r="A47" i="6"/>
  <c r="E47" i="6"/>
  <c r="F43" i="6"/>
  <c r="G43" i="6" s="1"/>
  <c r="H43" i="6" s="1"/>
  <c r="I43" i="6" s="1"/>
  <c r="J43" i="6" s="1"/>
  <c r="K43" i="6" s="1"/>
  <c r="C44" i="6"/>
  <c r="D45" i="6"/>
  <c r="A46" i="6"/>
  <c r="E46" i="6"/>
  <c r="F47" i="6"/>
  <c r="G47" i="6" s="1"/>
  <c r="H47" i="6" s="1"/>
  <c r="I47" i="6" s="1"/>
  <c r="J47" i="6" s="1"/>
  <c r="K47" i="6" s="1"/>
  <c r="A24" i="6"/>
  <c r="F26" i="6"/>
  <c r="G27" i="6" s="1"/>
  <c r="C27" i="6"/>
  <c r="D28" i="6"/>
  <c r="A41" i="6"/>
  <c r="E41" i="6"/>
  <c r="F42" i="6"/>
  <c r="G42" i="6" s="1"/>
  <c r="C43" i="6"/>
  <c r="H151" i="2"/>
  <c r="D44" i="6"/>
  <c r="I152" i="2"/>
  <c r="A45" i="6"/>
  <c r="E45" i="6"/>
  <c r="F46" i="6"/>
  <c r="G46" i="6" s="1"/>
  <c r="H46" i="6" s="1"/>
  <c r="I46" i="6" s="1"/>
  <c r="J46" i="6" s="1"/>
  <c r="K46" i="6" s="1"/>
  <c r="C47" i="6"/>
  <c r="H155" i="2"/>
  <c r="C39" i="6"/>
  <c r="C30" i="8"/>
  <c r="C48" i="8" s="1"/>
  <c r="F36" i="5"/>
  <c r="D11" i="9" s="1"/>
  <c r="D39" i="6"/>
  <c r="E39" i="6"/>
  <c r="G39" i="6" s="1"/>
  <c r="B39" i="6"/>
  <c r="I26" i="5"/>
  <c r="D11" i="8"/>
  <c r="E27" i="8"/>
  <c r="D44" i="8"/>
  <c r="C11" i="8"/>
  <c r="G32" i="7" l="1"/>
  <c r="D21" i="9" s="1"/>
  <c r="E32" i="6"/>
  <c r="E33" i="6" s="1"/>
  <c r="C33" i="6"/>
  <c r="D33" i="6"/>
  <c r="H39" i="6"/>
  <c r="F34" i="6"/>
  <c r="F32" i="6"/>
  <c r="F33" i="6" s="1"/>
  <c r="G33" i="6" s="1"/>
  <c r="C82" i="4"/>
  <c r="D6" i="9"/>
  <c r="G30" i="4"/>
  <c r="D5" i="9"/>
  <c r="G8" i="4"/>
  <c r="F13" i="3"/>
  <c r="G13" i="3" s="1"/>
  <c r="D34" i="6"/>
  <c r="E34" i="6"/>
  <c r="C34" i="6"/>
  <c r="D14" i="9"/>
  <c r="F36" i="6"/>
  <c r="C24" i="3"/>
  <c r="C13" i="3"/>
  <c r="C7" i="3"/>
  <c r="E21" i="3"/>
  <c r="E13" i="3"/>
  <c r="E14" i="3" s="1"/>
  <c r="B24" i="3"/>
  <c r="B13" i="3"/>
  <c r="C21" i="3"/>
  <c r="B21" i="3"/>
  <c r="F18" i="3"/>
  <c r="G32" i="3" s="1"/>
  <c r="D7" i="3"/>
  <c r="B18" i="3"/>
  <c r="I81" i="2"/>
  <c r="I97" i="2"/>
  <c r="I65" i="2"/>
  <c r="I193" i="2" s="1"/>
  <c r="E18" i="3"/>
  <c r="E24" i="3"/>
  <c r="J140" i="2"/>
  <c r="J74" i="2"/>
  <c r="J202" i="2" s="1"/>
  <c r="I86" i="2"/>
  <c r="J86" i="2" s="1"/>
  <c r="F67" i="4"/>
  <c r="G67" i="4" s="1"/>
  <c r="F11" i="4"/>
  <c r="F58" i="4"/>
  <c r="F46" i="4"/>
  <c r="G46" i="4" s="1"/>
  <c r="F21" i="3"/>
  <c r="F73" i="4"/>
  <c r="G73" i="4" s="1"/>
  <c r="F64" i="4"/>
  <c r="G64" i="4" s="1"/>
  <c r="H64" i="4" s="1"/>
  <c r="F20" i="4"/>
  <c r="G20" i="4" s="1"/>
  <c r="H20" i="4" s="1"/>
  <c r="F17" i="4"/>
  <c r="G17" i="4" s="1"/>
  <c r="H17" i="4" s="1"/>
  <c r="F76" i="4"/>
  <c r="G76" i="4" s="1"/>
  <c r="H76" i="4" s="1"/>
  <c r="F79" i="4"/>
  <c r="G79" i="4" s="1"/>
  <c r="F43" i="4"/>
  <c r="G43" i="4" s="1"/>
  <c r="B15" i="8"/>
  <c r="C19" i="8" s="1"/>
  <c r="C21" i="8" s="1"/>
  <c r="F70" i="4"/>
  <c r="G70" i="4" s="1"/>
  <c r="H70" i="4" s="1"/>
  <c r="F26" i="4"/>
  <c r="G26" i="4" s="1"/>
  <c r="F40" i="4"/>
  <c r="G40" i="4" s="1"/>
  <c r="F24" i="3"/>
  <c r="F61" i="4"/>
  <c r="G61" i="4" s="1"/>
  <c r="F49" i="4"/>
  <c r="G49" i="4" s="1"/>
  <c r="H49" i="4" s="1"/>
  <c r="F37" i="4"/>
  <c r="I127" i="2"/>
  <c r="I255" i="2" s="1"/>
  <c r="I73" i="2"/>
  <c r="J37" i="2"/>
  <c r="I30" i="7" s="1"/>
  <c r="H166" i="2"/>
  <c r="I93" i="2"/>
  <c r="I221" i="2" s="1"/>
  <c r="I166" i="2"/>
  <c r="G30" i="7"/>
  <c r="E9" i="9"/>
  <c r="D21" i="3"/>
  <c r="E55" i="4"/>
  <c r="D30" i="4"/>
  <c r="I115" i="2"/>
  <c r="I243" i="2" s="1"/>
  <c r="D24" i="3"/>
  <c r="C18" i="3"/>
  <c r="H194" i="2"/>
  <c r="I66" i="2"/>
  <c r="I191" i="2"/>
  <c r="J63" i="2"/>
  <c r="J145" i="2"/>
  <c r="F55" i="4"/>
  <c r="E8" i="4"/>
  <c r="G16" i="7"/>
  <c r="F82" i="4"/>
  <c r="I89" i="2"/>
  <c r="I217" i="2" s="1"/>
  <c r="F5" i="4"/>
  <c r="H252" i="2"/>
  <c r="I124" i="2"/>
  <c r="I269" i="2"/>
  <c r="J141" i="2"/>
  <c r="H256" i="2"/>
  <c r="I128" i="2"/>
  <c r="I203" i="2"/>
  <c r="J75" i="2"/>
  <c r="I257" i="2"/>
  <c r="J129" i="2"/>
  <c r="D82" i="4"/>
  <c r="J87" i="2"/>
  <c r="K87" i="2" s="1"/>
  <c r="H190" i="2"/>
  <c r="I62" i="2"/>
  <c r="H244" i="2"/>
  <c r="I116" i="2"/>
  <c r="I253" i="2"/>
  <c r="J125" i="2"/>
  <c r="I207" i="2"/>
  <c r="J79" i="2"/>
  <c r="I249" i="2"/>
  <c r="J121" i="2"/>
  <c r="J90" i="2"/>
  <c r="K90" i="2" s="1"/>
  <c r="H248" i="2"/>
  <c r="I120" i="2"/>
  <c r="H222" i="2"/>
  <c r="I94" i="2"/>
  <c r="G37" i="5"/>
  <c r="G36" i="5" s="1"/>
  <c r="J268" i="2"/>
  <c r="K140" i="2"/>
  <c r="H266" i="2"/>
  <c r="I138" i="2"/>
  <c r="I80" i="2"/>
  <c r="H208" i="2"/>
  <c r="J206" i="2"/>
  <c r="K78" i="2"/>
  <c r="I201" i="2"/>
  <c r="J73" i="2"/>
  <c r="F27" i="8"/>
  <c r="E44" i="8"/>
  <c r="E11" i="8"/>
  <c r="H37" i="5"/>
  <c r="H283" i="2"/>
  <c r="I155" i="2"/>
  <c r="H279" i="2"/>
  <c r="I151" i="2"/>
  <c r="H42" i="6"/>
  <c r="H150" i="2"/>
  <c r="H278" i="2" s="1"/>
  <c r="F19" i="7"/>
  <c r="H219" i="2"/>
  <c r="I91" i="2"/>
  <c r="E23" i="4"/>
  <c r="G23" i="4" s="1"/>
  <c r="C50" i="8"/>
  <c r="C52" i="8" s="1"/>
  <c r="I267" i="2"/>
  <c r="J139" i="2"/>
  <c r="H250" i="2"/>
  <c r="I122" i="2"/>
  <c r="H224" i="2"/>
  <c r="I96" i="2"/>
  <c r="J93" i="2"/>
  <c r="I205" i="2"/>
  <c r="J77" i="2"/>
  <c r="H192" i="2"/>
  <c r="I64" i="2"/>
  <c r="G14" i="4"/>
  <c r="G37" i="4"/>
  <c r="C33" i="4"/>
  <c r="C23" i="4"/>
  <c r="F25" i="7"/>
  <c r="G29" i="7" s="1"/>
  <c r="F7" i="3"/>
  <c r="D23" i="9" s="1"/>
  <c r="D8" i="4"/>
  <c r="E31" i="9"/>
  <c r="I24" i="2"/>
  <c r="J24" i="2" s="1"/>
  <c r="K24" i="2" s="1"/>
  <c r="L24" i="2" s="1"/>
  <c r="D13" i="9"/>
  <c r="H6" i="6"/>
  <c r="H136" i="2"/>
  <c r="H264" i="2" s="1"/>
  <c r="H223" i="2"/>
  <c r="I95" i="2"/>
  <c r="G31" i="5"/>
  <c r="G9" i="5" s="1"/>
  <c r="G4" i="5" s="1"/>
  <c r="H169" i="2"/>
  <c r="I40" i="2"/>
  <c r="C33" i="8"/>
  <c r="C35" i="8" s="1"/>
  <c r="H277" i="2"/>
  <c r="I149" i="2"/>
  <c r="H270" i="2"/>
  <c r="I142" i="2"/>
  <c r="H9" i="6"/>
  <c r="H137" i="2"/>
  <c r="H265" i="2" s="1"/>
  <c r="I259" i="2"/>
  <c r="J131" i="2"/>
  <c r="I247" i="2"/>
  <c r="J119" i="2"/>
  <c r="H216" i="2"/>
  <c r="I88" i="2"/>
  <c r="I209" i="2"/>
  <c r="J81" i="2"/>
  <c r="K74" i="2"/>
  <c r="E30" i="4"/>
  <c r="E82" i="4"/>
  <c r="C52" i="4"/>
  <c r="D5" i="4"/>
  <c r="D55" i="4"/>
  <c r="D18" i="8"/>
  <c r="E30" i="9"/>
  <c r="I20" i="2"/>
  <c r="C30" i="4"/>
  <c r="E5" i="4"/>
  <c r="H258" i="2"/>
  <c r="I130" i="2"/>
  <c r="H246" i="2"/>
  <c r="I118" i="2"/>
  <c r="H117" i="2"/>
  <c r="H245" i="2" s="1"/>
  <c r="I280" i="2"/>
  <c r="J152" i="2"/>
  <c r="J26" i="5"/>
  <c r="J83" i="2"/>
  <c r="J211" i="2" s="1"/>
  <c r="H147" i="2"/>
  <c r="H275" i="2" s="1"/>
  <c r="J273" i="2"/>
  <c r="K145" i="2"/>
  <c r="H5" i="6"/>
  <c r="G4" i="6"/>
  <c r="H135" i="2"/>
  <c r="F52" i="4"/>
  <c r="E52" i="4"/>
  <c r="I67" i="2"/>
  <c r="H195" i="2"/>
  <c r="E33" i="4"/>
  <c r="G33" i="4" s="1"/>
  <c r="G11" i="4"/>
  <c r="H167" i="2"/>
  <c r="I38" i="2"/>
  <c r="I282" i="2"/>
  <c r="J154" i="2"/>
  <c r="H281" i="2"/>
  <c r="I153" i="2"/>
  <c r="J272" i="2"/>
  <c r="K144" i="2"/>
  <c r="H254" i="2"/>
  <c r="I126" i="2"/>
  <c r="G12" i="7"/>
  <c r="G11" i="7"/>
  <c r="I251" i="2"/>
  <c r="J123" i="2"/>
  <c r="G58" i="4"/>
  <c r="D52" i="4"/>
  <c r="I225" i="2"/>
  <c r="J97" i="2"/>
  <c r="H220" i="2"/>
  <c r="I92" i="2"/>
  <c r="H196" i="2"/>
  <c r="I68" i="2"/>
  <c r="J65" i="2"/>
  <c r="J61" i="2"/>
  <c r="I189" i="2"/>
  <c r="I214" i="2"/>
  <c r="C57" i="8"/>
  <c r="I168" i="2"/>
  <c r="J39" i="2"/>
  <c r="K17" i="2"/>
  <c r="L17" i="2"/>
  <c r="E7" i="3"/>
  <c r="G86" i="4"/>
  <c r="H242" i="2" s="1"/>
  <c r="D18" i="3"/>
  <c r="H31" i="7"/>
  <c r="I213" i="2"/>
  <c r="J85" i="2"/>
  <c r="J76" i="2"/>
  <c r="I204" i="2"/>
  <c r="C55" i="4"/>
  <c r="G36" i="6" l="1"/>
  <c r="G35" i="6" s="1"/>
  <c r="G85" i="4" s="1"/>
  <c r="G84" i="4" s="1"/>
  <c r="G24" i="3"/>
  <c r="H24" i="3" s="1"/>
  <c r="I24" i="3" s="1"/>
  <c r="J24" i="3" s="1"/>
  <c r="K24" i="3" s="1"/>
  <c r="G18" i="3"/>
  <c r="H18" i="3" s="1"/>
  <c r="I18" i="3" s="1"/>
  <c r="J18" i="3" s="1"/>
  <c r="K18" i="3" s="1"/>
  <c r="C32" i="3"/>
  <c r="J36" i="6"/>
  <c r="I39" i="6"/>
  <c r="J39" i="6" s="1"/>
  <c r="K39" i="6" s="1"/>
  <c r="G82" i="4"/>
  <c r="K36" i="6"/>
  <c r="I36" i="6"/>
  <c r="G21" i="3"/>
  <c r="H21" i="3" s="1"/>
  <c r="I21" i="3" s="1"/>
  <c r="J21" i="3" s="1"/>
  <c r="K21" i="3" s="1"/>
  <c r="H36" i="6"/>
  <c r="D15" i="9"/>
  <c r="H33" i="6"/>
  <c r="I33" i="6" s="1"/>
  <c r="J33" i="6" s="1"/>
  <c r="K33" i="6" s="1"/>
  <c r="G32" i="6"/>
  <c r="G33" i="7"/>
  <c r="D7" i="9"/>
  <c r="G55" i="4"/>
  <c r="D4" i="9"/>
  <c r="G5" i="4"/>
  <c r="H56" i="4"/>
  <c r="C14" i="3"/>
  <c r="D14" i="3"/>
  <c r="H13" i="3"/>
  <c r="F14" i="3"/>
  <c r="D25" i="9" s="1"/>
  <c r="F32" i="3"/>
  <c r="H32" i="3"/>
  <c r="J127" i="2"/>
  <c r="J115" i="2"/>
  <c r="J215" i="2"/>
  <c r="G18" i="5"/>
  <c r="H18" i="5"/>
  <c r="I18" i="5"/>
  <c r="K18" i="5"/>
  <c r="K37" i="2"/>
  <c r="J89" i="2"/>
  <c r="J166" i="2"/>
  <c r="J18" i="5"/>
  <c r="F22" i="8"/>
  <c r="H9" i="4"/>
  <c r="G10" i="7"/>
  <c r="H12" i="7" s="1"/>
  <c r="J218" i="2"/>
  <c r="J32" i="7"/>
  <c r="G34" i="7"/>
  <c r="J203" i="2"/>
  <c r="K75" i="2"/>
  <c r="J269" i="2"/>
  <c r="K141" i="2"/>
  <c r="J191" i="2"/>
  <c r="K63" i="2"/>
  <c r="D18" i="9"/>
  <c r="D22" i="8"/>
  <c r="K32" i="7"/>
  <c r="J249" i="2"/>
  <c r="K121" i="2"/>
  <c r="J253" i="2"/>
  <c r="K125" i="2"/>
  <c r="I190" i="2"/>
  <c r="J62" i="2"/>
  <c r="H32" i="7"/>
  <c r="C22" i="8"/>
  <c r="H22" i="8"/>
  <c r="E22" i="8"/>
  <c r="I248" i="2"/>
  <c r="J120" i="2"/>
  <c r="J257" i="2"/>
  <c r="K129" i="2"/>
  <c r="I256" i="2"/>
  <c r="J128" i="2"/>
  <c r="I252" i="2"/>
  <c r="J124" i="2"/>
  <c r="I194" i="2"/>
  <c r="J66" i="2"/>
  <c r="I222" i="2"/>
  <c r="J94" i="2"/>
  <c r="I32" i="7"/>
  <c r="G22" i="8"/>
  <c r="J207" i="2"/>
  <c r="K79" i="2"/>
  <c r="I244" i="2"/>
  <c r="J116" i="2"/>
  <c r="J168" i="2"/>
  <c r="K39" i="2"/>
  <c r="J193" i="2"/>
  <c r="K65" i="2"/>
  <c r="I220" i="2"/>
  <c r="J92" i="2"/>
  <c r="J225" i="2"/>
  <c r="K97" i="2"/>
  <c r="H43" i="4"/>
  <c r="G56" i="4"/>
  <c r="J189" i="2"/>
  <c r="K61" i="2"/>
  <c r="I281" i="2"/>
  <c r="J153" i="2"/>
  <c r="I49" i="4"/>
  <c r="K26" i="5"/>
  <c r="K83" i="2"/>
  <c r="K211" i="2" s="1"/>
  <c r="H82" i="4"/>
  <c r="I9" i="6"/>
  <c r="I137" i="2"/>
  <c r="I265" i="2" s="1"/>
  <c r="K19" i="5"/>
  <c r="G19" i="5"/>
  <c r="J19" i="5"/>
  <c r="I19" i="5"/>
  <c r="H19" i="5"/>
  <c r="H79" i="4"/>
  <c r="H73" i="4"/>
  <c r="I20" i="4"/>
  <c r="I283" i="2"/>
  <c r="J155" i="2"/>
  <c r="K268" i="2"/>
  <c r="L140" i="2"/>
  <c r="L268" i="2" s="1"/>
  <c r="G9" i="4"/>
  <c r="I196" i="2"/>
  <c r="J68" i="2"/>
  <c r="K123" i="2"/>
  <c r="J251" i="2"/>
  <c r="H11" i="4"/>
  <c r="I195" i="2"/>
  <c r="J67" i="2"/>
  <c r="I76" i="4"/>
  <c r="I5" i="6"/>
  <c r="H4" i="6"/>
  <c r="I135" i="2"/>
  <c r="I70" i="4"/>
  <c r="I258" i="2"/>
  <c r="J130" i="2"/>
  <c r="G31" i="4"/>
  <c r="H31" i="4"/>
  <c r="I216" i="2"/>
  <c r="J88" i="2"/>
  <c r="J247" i="2"/>
  <c r="K119" i="2"/>
  <c r="J259" i="2"/>
  <c r="K131" i="2"/>
  <c r="I270" i="2"/>
  <c r="J142" i="2"/>
  <c r="H14" i="4"/>
  <c r="I192" i="2"/>
  <c r="J64" i="2"/>
  <c r="J221" i="2"/>
  <c r="K93" i="2"/>
  <c r="K115" i="2"/>
  <c r="J243" i="2"/>
  <c r="J255" i="2"/>
  <c r="K127" i="2"/>
  <c r="K139" i="2"/>
  <c r="J267" i="2"/>
  <c r="H23" i="4"/>
  <c r="H67" i="4"/>
  <c r="I42" i="6"/>
  <c r="I150" i="2"/>
  <c r="I278" i="2" s="1"/>
  <c r="G27" i="8"/>
  <c r="F44" i="8"/>
  <c r="F11" i="8"/>
  <c r="I208" i="2"/>
  <c r="J80" i="2"/>
  <c r="E15" i="9"/>
  <c r="J204" i="2"/>
  <c r="K76" i="2"/>
  <c r="D32" i="3"/>
  <c r="H58" i="4"/>
  <c r="I254" i="2"/>
  <c r="J126" i="2"/>
  <c r="K272" i="2"/>
  <c r="L144" i="2"/>
  <c r="L272" i="2" s="1"/>
  <c r="J282" i="2"/>
  <c r="K154" i="2"/>
  <c r="H33" i="4"/>
  <c r="K273" i="2"/>
  <c r="L145" i="2"/>
  <c r="L273" i="2" s="1"/>
  <c r="E13" i="9"/>
  <c r="J280" i="2"/>
  <c r="K152" i="2"/>
  <c r="E18" i="8"/>
  <c r="J20" i="2"/>
  <c r="H46" i="4"/>
  <c r="I169" i="2"/>
  <c r="J40" i="2"/>
  <c r="E32" i="3"/>
  <c r="I223" i="2"/>
  <c r="J95" i="2"/>
  <c r="I6" i="6"/>
  <c r="I136" i="2"/>
  <c r="I264" i="2" s="1"/>
  <c r="K215" i="2"/>
  <c r="L87" i="2"/>
  <c r="L215" i="2" s="1"/>
  <c r="H26" i="4"/>
  <c r="D17" i="9"/>
  <c r="I64" i="4"/>
  <c r="I279" i="2"/>
  <c r="J151" i="2"/>
  <c r="J201" i="2"/>
  <c r="K73" i="2"/>
  <c r="K206" i="2"/>
  <c r="L78" i="2"/>
  <c r="L206" i="2" s="1"/>
  <c r="K89" i="2"/>
  <c r="J217" i="2"/>
  <c r="I266" i="2"/>
  <c r="J138" i="2"/>
  <c r="I31" i="7"/>
  <c r="J213" i="2"/>
  <c r="K85" i="2"/>
  <c r="H61" i="4"/>
  <c r="J214" i="2"/>
  <c r="K86" i="2"/>
  <c r="I167" i="2"/>
  <c r="J38" i="2"/>
  <c r="H40" i="4"/>
  <c r="H263" i="2"/>
  <c r="H134" i="2"/>
  <c r="I246" i="2"/>
  <c r="J118" i="2"/>
  <c r="I117" i="2"/>
  <c r="I245" i="2" s="1"/>
  <c r="K202" i="2"/>
  <c r="L74" i="2"/>
  <c r="L202" i="2" s="1"/>
  <c r="J209" i="2"/>
  <c r="K81" i="2"/>
  <c r="K218" i="2"/>
  <c r="L90" i="2"/>
  <c r="L218" i="2" s="1"/>
  <c r="I277" i="2"/>
  <c r="J149" i="2"/>
  <c r="J30" i="7"/>
  <c r="L37" i="2"/>
  <c r="K166" i="2"/>
  <c r="H37" i="4"/>
  <c r="H71" i="2"/>
  <c r="K77" i="2"/>
  <c r="J205" i="2"/>
  <c r="I224" i="2"/>
  <c r="J96" i="2"/>
  <c r="I250" i="2"/>
  <c r="J122" i="2"/>
  <c r="I17" i="4"/>
  <c r="I219" i="2"/>
  <c r="J91" i="2"/>
  <c r="E18" i="9"/>
  <c r="H16" i="7"/>
  <c r="I16" i="7" s="1"/>
  <c r="J16" i="7" s="1"/>
  <c r="K16" i="7" s="1"/>
  <c r="G10" i="5" l="1"/>
  <c r="G11" i="5" s="1"/>
  <c r="H7" i="5" s="1"/>
  <c r="C24" i="8"/>
  <c r="E29" i="3" s="1"/>
  <c r="I13" i="3"/>
  <c r="G3" i="7"/>
  <c r="H8" i="2" s="1"/>
  <c r="E21" i="9"/>
  <c r="H33" i="7"/>
  <c r="I33" i="7" s="1"/>
  <c r="J33" i="7" s="1"/>
  <c r="K33" i="7" s="1"/>
  <c r="H11" i="7"/>
  <c r="H10" i="7" s="1"/>
  <c r="I11" i="7" s="1"/>
  <c r="E5" i="9"/>
  <c r="E22" i="9"/>
  <c r="L79" i="2"/>
  <c r="L207" i="2" s="1"/>
  <c r="K207" i="2"/>
  <c r="J256" i="2"/>
  <c r="K128" i="2"/>
  <c r="H55" i="4"/>
  <c r="I55" i="4" s="1"/>
  <c r="J55" i="4" s="1"/>
  <c r="K55" i="4" s="1"/>
  <c r="K253" i="2"/>
  <c r="L125" i="2"/>
  <c r="L253" i="2" s="1"/>
  <c r="K269" i="2"/>
  <c r="L141" i="2"/>
  <c r="L269" i="2" s="1"/>
  <c r="J244" i="2"/>
  <c r="K116" i="2"/>
  <c r="K94" i="2"/>
  <c r="J222" i="2"/>
  <c r="K124" i="2"/>
  <c r="J252" i="2"/>
  <c r="K257" i="2"/>
  <c r="L129" i="2"/>
  <c r="L257" i="2" s="1"/>
  <c r="L63" i="2"/>
  <c r="L191" i="2" s="1"/>
  <c r="K191" i="2"/>
  <c r="K203" i="2"/>
  <c r="L75" i="2"/>
  <c r="L203" i="2" s="1"/>
  <c r="J194" i="2"/>
  <c r="K66" i="2"/>
  <c r="J248" i="2"/>
  <c r="K120" i="2"/>
  <c r="J190" i="2"/>
  <c r="K62" i="2"/>
  <c r="L121" i="2"/>
  <c r="L249" i="2" s="1"/>
  <c r="K249" i="2"/>
  <c r="K30" i="7"/>
  <c r="L166" i="2"/>
  <c r="J167" i="2"/>
  <c r="K38" i="2"/>
  <c r="I61" i="4"/>
  <c r="K201" i="2"/>
  <c r="L73" i="2"/>
  <c r="L201" i="2" s="1"/>
  <c r="J6" i="6"/>
  <c r="J136" i="2"/>
  <c r="J264" i="2" s="1"/>
  <c r="J270" i="2"/>
  <c r="K142" i="2"/>
  <c r="K193" i="2"/>
  <c r="L65" i="2"/>
  <c r="L193" i="2" s="1"/>
  <c r="J277" i="2"/>
  <c r="K149" i="2"/>
  <c r="K209" i="2"/>
  <c r="L81" i="2"/>
  <c r="L209" i="2" s="1"/>
  <c r="K217" i="2"/>
  <c r="L89" i="2"/>
  <c r="L217" i="2" s="1"/>
  <c r="J223" i="2"/>
  <c r="K95" i="2"/>
  <c r="I33" i="4"/>
  <c r="K282" i="2"/>
  <c r="L154" i="2"/>
  <c r="L282" i="2" s="1"/>
  <c r="J254" i="2"/>
  <c r="K126" i="2"/>
  <c r="H86" i="4"/>
  <c r="I242" i="2" s="1"/>
  <c r="H114" i="2"/>
  <c r="J208" i="2"/>
  <c r="K80" i="2"/>
  <c r="G44" i="8"/>
  <c r="G11" i="8"/>
  <c r="H27" i="8"/>
  <c r="K267" i="2"/>
  <c r="L139" i="2"/>
  <c r="L267" i="2" s="1"/>
  <c r="J76" i="4"/>
  <c r="J20" i="4"/>
  <c r="I79" i="4"/>
  <c r="J219" i="2"/>
  <c r="K91" i="2"/>
  <c r="J169" i="2"/>
  <c r="K40" i="2"/>
  <c r="I67" i="4"/>
  <c r="K221" i="2"/>
  <c r="L93" i="2"/>
  <c r="L221" i="2" s="1"/>
  <c r="J192" i="2"/>
  <c r="K64" i="2"/>
  <c r="K247" i="2"/>
  <c r="L119" i="2"/>
  <c r="L247" i="2" s="1"/>
  <c r="J70" i="4"/>
  <c r="J5" i="6"/>
  <c r="I4" i="6"/>
  <c r="J135" i="2"/>
  <c r="K189" i="2"/>
  <c r="L61" i="2"/>
  <c r="K225" i="2"/>
  <c r="L97" i="2"/>
  <c r="L225" i="2" s="1"/>
  <c r="E11" i="9"/>
  <c r="I37" i="5"/>
  <c r="H36" i="5" s="1"/>
  <c r="J37" i="5" s="1"/>
  <c r="I36" i="5" s="1"/>
  <c r="K37" i="5" s="1"/>
  <c r="J36" i="5" s="1"/>
  <c r="L37" i="5" s="1"/>
  <c r="K36" i="5" s="1"/>
  <c r="K205" i="2"/>
  <c r="L77" i="2"/>
  <c r="L205" i="2" s="1"/>
  <c r="I37" i="4"/>
  <c r="J17" i="4"/>
  <c r="J224" i="2"/>
  <c r="K96" i="2"/>
  <c r="H199" i="2"/>
  <c r="J246" i="2"/>
  <c r="K118" i="2"/>
  <c r="J117" i="2"/>
  <c r="J245" i="2" s="1"/>
  <c r="K214" i="2"/>
  <c r="L86" i="2"/>
  <c r="L214" i="2" s="1"/>
  <c r="J31" i="7"/>
  <c r="K213" i="2"/>
  <c r="L85" i="2"/>
  <c r="J266" i="2"/>
  <c r="K138" i="2"/>
  <c r="J279" i="2"/>
  <c r="K151" i="2"/>
  <c r="E17" i="9"/>
  <c r="H19" i="7"/>
  <c r="I19" i="7" s="1"/>
  <c r="J19" i="7" s="1"/>
  <c r="K19" i="7" s="1"/>
  <c r="H290" i="2"/>
  <c r="D29" i="8" s="1"/>
  <c r="D46" i="8" s="1"/>
  <c r="G5" i="5"/>
  <c r="I46" i="4"/>
  <c r="K280" i="2"/>
  <c r="L152" i="2"/>
  <c r="L280" i="2" s="1"/>
  <c r="K255" i="2"/>
  <c r="L127" i="2"/>
  <c r="L255" i="2" s="1"/>
  <c r="I14" i="4"/>
  <c r="K259" i="2"/>
  <c r="L131" i="2"/>
  <c r="L259" i="2" s="1"/>
  <c r="J216" i="2"/>
  <c r="K88" i="2"/>
  <c r="J258" i="2"/>
  <c r="K130" i="2"/>
  <c r="I263" i="2"/>
  <c r="I134" i="2"/>
  <c r="I11" i="4"/>
  <c r="J283" i="2"/>
  <c r="K155" i="2"/>
  <c r="J9" i="6"/>
  <c r="J137" i="2"/>
  <c r="J265" i="2" s="1"/>
  <c r="J49" i="4"/>
  <c r="E7" i="9"/>
  <c r="J220" i="2"/>
  <c r="K92" i="2"/>
  <c r="K168" i="2"/>
  <c r="L39" i="2"/>
  <c r="L168" i="2" s="1"/>
  <c r="J250" i="2"/>
  <c r="K122" i="2"/>
  <c r="H262" i="2"/>
  <c r="J64" i="4"/>
  <c r="F18" i="8"/>
  <c r="K20" i="2"/>
  <c r="I58" i="4"/>
  <c r="K251" i="2"/>
  <c r="L123" i="2"/>
  <c r="L251" i="2" s="1"/>
  <c r="I82" i="4"/>
  <c r="I43" i="4"/>
  <c r="I40" i="4"/>
  <c r="I26" i="4"/>
  <c r="K204" i="2"/>
  <c r="L76" i="2"/>
  <c r="L204" i="2" s="1"/>
  <c r="J42" i="6"/>
  <c r="J150" i="2"/>
  <c r="J278" i="2" s="1"/>
  <c r="I23" i="4"/>
  <c r="K243" i="2"/>
  <c r="L115" i="2"/>
  <c r="L243" i="2" s="1"/>
  <c r="J195" i="2"/>
  <c r="K67" i="2"/>
  <c r="J196" i="2"/>
  <c r="K68" i="2"/>
  <c r="I73" i="4"/>
  <c r="L83" i="2"/>
  <c r="L211" i="2" s="1"/>
  <c r="J281" i="2"/>
  <c r="K153" i="2"/>
  <c r="J13" i="3" l="1"/>
  <c r="H8" i="4"/>
  <c r="I8" i="4" s="1"/>
  <c r="J8" i="4" s="1"/>
  <c r="K8" i="4" s="1"/>
  <c r="I12" i="7"/>
  <c r="K222" i="2"/>
  <c r="L94" i="2"/>
  <c r="L222" i="2" s="1"/>
  <c r="K256" i="2"/>
  <c r="L128" i="2"/>
  <c r="L256" i="2" s="1"/>
  <c r="I10" i="7"/>
  <c r="J12" i="7" s="1"/>
  <c r="L62" i="2"/>
  <c r="L190" i="2" s="1"/>
  <c r="K190" i="2"/>
  <c r="L66" i="2"/>
  <c r="L194" i="2" s="1"/>
  <c r="K194" i="2"/>
  <c r="K244" i="2"/>
  <c r="L116" i="2"/>
  <c r="L244" i="2" s="1"/>
  <c r="K252" i="2"/>
  <c r="L124" i="2"/>
  <c r="L252" i="2" s="1"/>
  <c r="K248" i="2"/>
  <c r="L120" i="2"/>
  <c r="L248" i="2" s="1"/>
  <c r="K196" i="2"/>
  <c r="L68" i="2"/>
  <c r="L196" i="2" s="1"/>
  <c r="J37" i="4"/>
  <c r="L189" i="2"/>
  <c r="K169" i="2"/>
  <c r="L40" i="2"/>
  <c r="L169" i="2" s="1"/>
  <c r="J79" i="4"/>
  <c r="K76" i="4"/>
  <c r="H11" i="8"/>
  <c r="H44" i="8"/>
  <c r="K223" i="2"/>
  <c r="L95" i="2"/>
  <c r="L223" i="2" s="1"/>
  <c r="K277" i="2"/>
  <c r="L149" i="2"/>
  <c r="L277" i="2" s="1"/>
  <c r="K270" i="2"/>
  <c r="L142" i="2"/>
  <c r="L270" i="2" s="1"/>
  <c r="K167" i="2"/>
  <c r="L38" i="2"/>
  <c r="L167" i="2" s="1"/>
  <c r="J26" i="4"/>
  <c r="J82" i="4"/>
  <c r="K250" i="2"/>
  <c r="L122" i="2"/>
  <c r="L250" i="2" s="1"/>
  <c r="K283" i="2"/>
  <c r="L155" i="2"/>
  <c r="L283" i="2" s="1"/>
  <c r="K266" i="2"/>
  <c r="L138" i="2"/>
  <c r="L266" i="2" s="1"/>
  <c r="K246" i="2"/>
  <c r="L118" i="2"/>
  <c r="K117" i="2"/>
  <c r="K245" i="2" s="1"/>
  <c r="K5" i="6"/>
  <c r="J4" i="6"/>
  <c r="K135" i="2"/>
  <c r="K20" i="4"/>
  <c r="J73" i="4"/>
  <c r="K9" i="6"/>
  <c r="L137" i="2" s="1"/>
  <c r="K137" i="2"/>
  <c r="K265" i="2" s="1"/>
  <c r="J58" i="4"/>
  <c r="K220" i="2"/>
  <c r="L92" i="2"/>
  <c r="L220" i="2" s="1"/>
  <c r="K49" i="4"/>
  <c r="J11" i="4"/>
  <c r="K258" i="2"/>
  <c r="L130" i="2"/>
  <c r="L258" i="2" s="1"/>
  <c r="J46" i="4"/>
  <c r="K219" i="2"/>
  <c r="L91" i="2"/>
  <c r="L219" i="2" s="1"/>
  <c r="E6" i="9"/>
  <c r="H30" i="4"/>
  <c r="I30" i="4" s="1"/>
  <c r="J30" i="4" s="1"/>
  <c r="K30" i="4" s="1"/>
  <c r="K195" i="2"/>
  <c r="L67" i="2"/>
  <c r="L195" i="2" s="1"/>
  <c r="K42" i="6"/>
  <c r="L150" i="2" s="1"/>
  <c r="K150" i="2"/>
  <c r="K278" i="2" s="1"/>
  <c r="K64" i="4"/>
  <c r="K17" i="4"/>
  <c r="K70" i="4"/>
  <c r="K192" i="2"/>
  <c r="L64" i="2"/>
  <c r="L192" i="2" s="1"/>
  <c r="K254" i="2"/>
  <c r="L126" i="2"/>
  <c r="L254" i="2" s="1"/>
  <c r="J61" i="4"/>
  <c r="K281" i="2"/>
  <c r="L153" i="2"/>
  <c r="L281" i="2" s="1"/>
  <c r="J23" i="4"/>
  <c r="J40" i="4"/>
  <c r="J43" i="4"/>
  <c r="G18" i="8"/>
  <c r="L20" i="2"/>
  <c r="H18" i="8" s="1"/>
  <c r="I262" i="2"/>
  <c r="K216" i="2"/>
  <c r="L88" i="2"/>
  <c r="L216" i="2" s="1"/>
  <c r="J14" i="4"/>
  <c r="H72" i="2"/>
  <c r="G3" i="5"/>
  <c r="K279" i="2"/>
  <c r="L151" i="2"/>
  <c r="L279" i="2" s="1"/>
  <c r="K31" i="7"/>
  <c r="L213" i="2"/>
  <c r="K224" i="2"/>
  <c r="L96" i="2"/>
  <c r="L224" i="2" s="1"/>
  <c r="J263" i="2"/>
  <c r="J134" i="2"/>
  <c r="J67" i="4"/>
  <c r="K208" i="2"/>
  <c r="L80" i="2"/>
  <c r="L208" i="2" s="1"/>
  <c r="J33" i="4"/>
  <c r="K6" i="6"/>
  <c r="L136" i="2" s="1"/>
  <c r="K136" i="2"/>
  <c r="K264" i="2" s="1"/>
  <c r="K13" i="3" l="1"/>
  <c r="J11" i="7"/>
  <c r="L265" i="2"/>
  <c r="J10" i="7"/>
  <c r="K11" i="7" s="1"/>
  <c r="L278" i="2"/>
  <c r="K67" i="4"/>
  <c r="K4" i="6"/>
  <c r="L135" i="2"/>
  <c r="K26" i="4"/>
  <c r="K79" i="4"/>
  <c r="L264" i="2"/>
  <c r="K14" i="4"/>
  <c r="K11" i="4"/>
  <c r="K40" i="4"/>
  <c r="K33" i="4"/>
  <c r="J262" i="2"/>
  <c r="K46" i="4"/>
  <c r="K73" i="4"/>
  <c r="K263" i="2"/>
  <c r="K134" i="2"/>
  <c r="L246" i="2"/>
  <c r="L117" i="2"/>
  <c r="L245" i="2" s="1"/>
  <c r="K82" i="4"/>
  <c r="H200" i="2"/>
  <c r="H70" i="2"/>
  <c r="K43" i="4"/>
  <c r="K23" i="4"/>
  <c r="K61" i="4"/>
  <c r="K58" i="4"/>
  <c r="K37" i="4"/>
  <c r="K12" i="7" l="1"/>
  <c r="K10" i="7"/>
  <c r="L263" i="2"/>
  <c r="L134" i="2"/>
  <c r="H198" i="2"/>
  <c r="H69" i="2"/>
  <c r="K262" i="2"/>
  <c r="L262" i="2" l="1"/>
  <c r="H197" i="2"/>
  <c r="G31" i="6" l="1"/>
  <c r="G22" i="6" s="1"/>
  <c r="H143" i="2" l="1"/>
  <c r="H271" i="2" l="1"/>
  <c r="E4" i="9" l="1"/>
  <c r="H5" i="4"/>
  <c r="I5" i="4" l="1"/>
  <c r="J5" i="4" l="1"/>
  <c r="K5" i="4" l="1"/>
  <c r="E24" i="9" l="1"/>
  <c r="G10" i="3"/>
  <c r="G6" i="3" s="1"/>
  <c r="H10" i="3" l="1"/>
  <c r="I10" i="3" s="1"/>
  <c r="I6" i="3" s="1"/>
  <c r="G23" i="3"/>
  <c r="H13" i="2" s="1"/>
  <c r="G7" i="3"/>
  <c r="E23" i="9" s="1"/>
  <c r="G24" i="7"/>
  <c r="G20" i="3"/>
  <c r="H12" i="2" s="1"/>
  <c r="H5" i="2"/>
  <c r="G17" i="3"/>
  <c r="H6" i="2" s="1"/>
  <c r="J10" i="3" l="1"/>
  <c r="K10" i="3" s="1"/>
  <c r="K6" i="3" s="1"/>
  <c r="H6" i="3"/>
  <c r="H20" i="3" s="1"/>
  <c r="I12" i="2" s="1"/>
  <c r="I24" i="7"/>
  <c r="I17" i="3"/>
  <c r="J6" i="2" s="1"/>
  <c r="I20" i="3"/>
  <c r="J12" i="2" s="1"/>
  <c r="I23" i="3"/>
  <c r="J13" i="2" s="1"/>
  <c r="J5" i="2"/>
  <c r="G54" i="4"/>
  <c r="G7" i="4"/>
  <c r="H43" i="2" s="1"/>
  <c r="H172" i="2" s="1"/>
  <c r="G29" i="4"/>
  <c r="G19" i="4"/>
  <c r="H47" i="2" s="1"/>
  <c r="H176" i="2" s="1"/>
  <c r="G25" i="4"/>
  <c r="H49" i="2" s="1"/>
  <c r="H178" i="2" s="1"/>
  <c r="G16" i="4"/>
  <c r="H46" i="2" s="1"/>
  <c r="H175" i="2" s="1"/>
  <c r="G75" i="4"/>
  <c r="H110" i="2" s="1"/>
  <c r="H238" i="2" s="1"/>
  <c r="G13" i="4"/>
  <c r="H45" i="2" s="1"/>
  <c r="H174" i="2" s="1"/>
  <c r="G48" i="4"/>
  <c r="H58" i="2" s="1"/>
  <c r="H187" i="2" s="1"/>
  <c r="G45" i="4"/>
  <c r="H57" i="2" s="1"/>
  <c r="H186" i="2" s="1"/>
  <c r="H7" i="2"/>
  <c r="G10" i="4"/>
  <c r="H44" i="2" s="1"/>
  <c r="H173" i="2" s="1"/>
  <c r="G66" i="4"/>
  <c r="H107" i="2" s="1"/>
  <c r="H235" i="2" s="1"/>
  <c r="G36" i="4"/>
  <c r="G39" i="4"/>
  <c r="H55" i="2" s="1"/>
  <c r="H184" i="2" s="1"/>
  <c r="G78" i="4"/>
  <c r="H111" i="2" s="1"/>
  <c r="H239" i="2" s="1"/>
  <c r="G60" i="4"/>
  <c r="H105" i="2" s="1"/>
  <c r="H233" i="2" s="1"/>
  <c r="G69" i="4"/>
  <c r="H108" i="2" s="1"/>
  <c r="H236" i="2" s="1"/>
  <c r="G57" i="4"/>
  <c r="H104" i="2" s="1"/>
  <c r="H232" i="2" s="1"/>
  <c r="G42" i="4"/>
  <c r="H56" i="2" s="1"/>
  <c r="H185" i="2" s="1"/>
  <c r="G4" i="4"/>
  <c r="G72" i="4"/>
  <c r="H109" i="2" s="1"/>
  <c r="H237" i="2" s="1"/>
  <c r="G63" i="4"/>
  <c r="H106" i="2" s="1"/>
  <c r="H234" i="2" s="1"/>
  <c r="J6" i="3" l="1"/>
  <c r="J23" i="3" s="1"/>
  <c r="K13" i="2" s="1"/>
  <c r="I5" i="2"/>
  <c r="H42" i="4" s="1"/>
  <c r="I56" i="2" s="1"/>
  <c r="I185" i="2" s="1"/>
  <c r="H7" i="3"/>
  <c r="H24" i="7"/>
  <c r="I7" i="3"/>
  <c r="H23" i="3"/>
  <c r="I13" i="2" s="1"/>
  <c r="H17" i="3"/>
  <c r="I6" i="2" s="1"/>
  <c r="H7" i="4" s="1"/>
  <c r="I43" i="2" s="1"/>
  <c r="I172" i="2" s="1"/>
  <c r="H51" i="2"/>
  <c r="G32" i="4"/>
  <c r="H52" i="2" s="1"/>
  <c r="H181" i="2" s="1"/>
  <c r="G35" i="4"/>
  <c r="H54" i="2"/>
  <c r="I69" i="4"/>
  <c r="J108" i="2" s="1"/>
  <c r="I39" i="4"/>
  <c r="J55" i="2" s="1"/>
  <c r="I19" i="4"/>
  <c r="J47" i="2" s="1"/>
  <c r="I10" i="4"/>
  <c r="J44" i="2" s="1"/>
  <c r="I25" i="4"/>
  <c r="J49" i="2" s="1"/>
  <c r="I48" i="4"/>
  <c r="J58" i="2" s="1"/>
  <c r="I16" i="4"/>
  <c r="J46" i="2" s="1"/>
  <c r="I42" i="4"/>
  <c r="J56" i="2" s="1"/>
  <c r="I75" i="4"/>
  <c r="J110" i="2" s="1"/>
  <c r="I13" i="4"/>
  <c r="J45" i="2" s="1"/>
  <c r="I60" i="4"/>
  <c r="J105" i="2" s="1"/>
  <c r="I36" i="4"/>
  <c r="I78" i="4"/>
  <c r="J111" i="2" s="1"/>
  <c r="I45" i="4"/>
  <c r="J57" i="2" s="1"/>
  <c r="I72" i="4"/>
  <c r="J109" i="2" s="1"/>
  <c r="I63" i="4"/>
  <c r="J106" i="2" s="1"/>
  <c r="I57" i="4"/>
  <c r="J104" i="2" s="1"/>
  <c r="I66" i="4"/>
  <c r="J107" i="2" s="1"/>
  <c r="J7" i="2"/>
  <c r="K23" i="3"/>
  <c r="L13" i="2" s="1"/>
  <c r="K20" i="3"/>
  <c r="L12" i="2" s="1"/>
  <c r="K17" i="3"/>
  <c r="L6" i="2" s="1"/>
  <c r="K24" i="7"/>
  <c r="L5" i="2"/>
  <c r="H42" i="2"/>
  <c r="G22" i="4"/>
  <c r="H48" i="2" s="1"/>
  <c r="H177" i="2" s="1"/>
  <c r="G81" i="4"/>
  <c r="H113" i="2" s="1"/>
  <c r="H241" i="2" s="1"/>
  <c r="H103" i="2"/>
  <c r="J20" i="3" l="1"/>
  <c r="K12" i="2" s="1"/>
  <c r="J17" i="3"/>
  <c r="K6" i="2" s="1"/>
  <c r="K5" i="2"/>
  <c r="J63" i="4" s="1"/>
  <c r="K106" i="2" s="1"/>
  <c r="K234" i="2" s="1"/>
  <c r="K7" i="3"/>
  <c r="J24" i="7"/>
  <c r="J7" i="3"/>
  <c r="H29" i="4"/>
  <c r="H32" i="4" s="1"/>
  <c r="I52" i="2" s="1"/>
  <c r="I181" i="2" s="1"/>
  <c r="H69" i="4"/>
  <c r="I108" i="2" s="1"/>
  <c r="I236" i="2" s="1"/>
  <c r="H19" i="4"/>
  <c r="I47" i="2" s="1"/>
  <c r="I176" i="2" s="1"/>
  <c r="H25" i="4"/>
  <c r="I49" i="2" s="1"/>
  <c r="I178" i="2" s="1"/>
  <c r="H4" i="4"/>
  <c r="I4" i="4" s="1"/>
  <c r="H75" i="4"/>
  <c r="I110" i="2" s="1"/>
  <c r="I238" i="2" s="1"/>
  <c r="H72" i="4"/>
  <c r="I109" i="2" s="1"/>
  <c r="I237" i="2" s="1"/>
  <c r="H57" i="4"/>
  <c r="I104" i="2" s="1"/>
  <c r="I232" i="2" s="1"/>
  <c r="H60" i="4"/>
  <c r="I105" i="2" s="1"/>
  <c r="I233" i="2" s="1"/>
  <c r="H48" i="4"/>
  <c r="I58" i="2" s="1"/>
  <c r="I187" i="2" s="1"/>
  <c r="H13" i="4"/>
  <c r="I45" i="2" s="1"/>
  <c r="I174" i="2" s="1"/>
  <c r="H36" i="4"/>
  <c r="H45" i="4"/>
  <c r="I57" i="2" s="1"/>
  <c r="I186" i="2" s="1"/>
  <c r="H63" i="4"/>
  <c r="I106" i="2" s="1"/>
  <c r="I234" i="2" s="1"/>
  <c r="H66" i="4"/>
  <c r="I107" i="2" s="1"/>
  <c r="I235" i="2" s="1"/>
  <c r="H78" i="4"/>
  <c r="I111" i="2" s="1"/>
  <c r="I239" i="2" s="1"/>
  <c r="H10" i="4"/>
  <c r="I44" i="2" s="1"/>
  <c r="I173" i="2" s="1"/>
  <c r="H16" i="4"/>
  <c r="I46" i="2" s="1"/>
  <c r="I175" i="2" s="1"/>
  <c r="H39" i="4"/>
  <c r="I55" i="2" s="1"/>
  <c r="I184" i="2" s="1"/>
  <c r="H54" i="4"/>
  <c r="H81" i="4" s="1"/>
  <c r="I113" i="2" s="1"/>
  <c r="I241" i="2" s="1"/>
  <c r="I7" i="2"/>
  <c r="G52" i="4"/>
  <c r="I7" i="4"/>
  <c r="J43" i="2" s="1"/>
  <c r="J172" i="2" s="1"/>
  <c r="H100" i="2"/>
  <c r="H231" i="2"/>
  <c r="J54" i="2"/>
  <c r="I35" i="4"/>
  <c r="H41" i="2"/>
  <c r="H171" i="2"/>
  <c r="G3" i="4"/>
  <c r="J185" i="2"/>
  <c r="H183" i="2"/>
  <c r="H53" i="2"/>
  <c r="H182" i="2" s="1"/>
  <c r="K25" i="4"/>
  <c r="L49" i="2" s="1"/>
  <c r="K39" i="4"/>
  <c r="L55" i="2" s="1"/>
  <c r="K10" i="4"/>
  <c r="L44" i="2" s="1"/>
  <c r="K69" i="4"/>
  <c r="L108" i="2" s="1"/>
  <c r="K72" i="4"/>
  <c r="L109" i="2" s="1"/>
  <c r="K66" i="4"/>
  <c r="L107" i="2" s="1"/>
  <c r="K75" i="4"/>
  <c r="L110" i="2" s="1"/>
  <c r="K78" i="4"/>
  <c r="L111" i="2" s="1"/>
  <c r="K36" i="4"/>
  <c r="L7" i="2"/>
  <c r="K42" i="4"/>
  <c r="L56" i="2" s="1"/>
  <c r="K19" i="4"/>
  <c r="L47" i="2" s="1"/>
  <c r="K60" i="4"/>
  <c r="L105" i="2" s="1"/>
  <c r="K63" i="4"/>
  <c r="L106" i="2" s="1"/>
  <c r="K48" i="4"/>
  <c r="L58" i="2" s="1"/>
  <c r="K45" i="4"/>
  <c r="L57" i="2" s="1"/>
  <c r="K13" i="4"/>
  <c r="L45" i="2" s="1"/>
  <c r="K16" i="4"/>
  <c r="L46" i="2" s="1"/>
  <c r="K57" i="4"/>
  <c r="L104" i="2" s="1"/>
  <c r="G28" i="4"/>
  <c r="H180" i="2"/>
  <c r="H50" i="2"/>
  <c r="H179" i="2" s="1"/>
  <c r="J78" i="4" l="1"/>
  <c r="K111" i="2" s="1"/>
  <c r="K239" i="2" s="1"/>
  <c r="J19" i="4"/>
  <c r="K47" i="2" s="1"/>
  <c r="K176" i="2" s="1"/>
  <c r="I29" i="4"/>
  <c r="J29" i="4" s="1"/>
  <c r="J48" i="4"/>
  <c r="K58" i="2" s="1"/>
  <c r="K187" i="2" s="1"/>
  <c r="J39" i="4"/>
  <c r="K55" i="2" s="1"/>
  <c r="K184" i="2" s="1"/>
  <c r="J75" i="4"/>
  <c r="K110" i="2" s="1"/>
  <c r="K238" i="2" s="1"/>
  <c r="J4" i="4"/>
  <c r="J22" i="4" s="1"/>
  <c r="K48" i="2" s="1"/>
  <c r="J10" i="4"/>
  <c r="K44" i="2" s="1"/>
  <c r="K173" i="2" s="1"/>
  <c r="J45" i="4"/>
  <c r="K57" i="2" s="1"/>
  <c r="K186" i="2" s="1"/>
  <c r="J36" i="4"/>
  <c r="K54" i="2" s="1"/>
  <c r="J60" i="4"/>
  <c r="K105" i="2" s="1"/>
  <c r="K233" i="2" s="1"/>
  <c r="J66" i="4"/>
  <c r="K107" i="2" s="1"/>
  <c r="K235" i="2" s="1"/>
  <c r="J42" i="4"/>
  <c r="K56" i="2" s="1"/>
  <c r="K185" i="2" s="1"/>
  <c r="J13" i="4"/>
  <c r="K45" i="2" s="1"/>
  <c r="K174" i="2" s="1"/>
  <c r="J57" i="4"/>
  <c r="K104" i="2" s="1"/>
  <c r="K232" i="2" s="1"/>
  <c r="K7" i="2"/>
  <c r="J69" i="4"/>
  <c r="K108" i="2" s="1"/>
  <c r="K236" i="2" s="1"/>
  <c r="J25" i="4"/>
  <c r="K49" i="2" s="1"/>
  <c r="K178" i="2" s="1"/>
  <c r="J16" i="4"/>
  <c r="K46" i="2" s="1"/>
  <c r="K175" i="2" s="1"/>
  <c r="J72" i="4"/>
  <c r="K109" i="2" s="1"/>
  <c r="K237" i="2" s="1"/>
  <c r="I51" i="2"/>
  <c r="I50" i="2" s="1"/>
  <c r="I179" i="2" s="1"/>
  <c r="J236" i="2"/>
  <c r="J178" i="2"/>
  <c r="J176" i="2"/>
  <c r="J173" i="2"/>
  <c r="J233" i="2"/>
  <c r="J238" i="2"/>
  <c r="J239" i="2"/>
  <c r="J232" i="2"/>
  <c r="J7" i="4"/>
  <c r="K43" i="2" s="1"/>
  <c r="K172" i="2" s="1"/>
  <c r="H22" i="4"/>
  <c r="I48" i="2" s="1"/>
  <c r="I177" i="2" s="1"/>
  <c r="J42" i="2"/>
  <c r="J186" i="2"/>
  <c r="I42" i="2"/>
  <c r="I22" i="4"/>
  <c r="J48" i="2" s="1"/>
  <c r="H35" i="4"/>
  <c r="J234" i="2"/>
  <c r="J187" i="2"/>
  <c r="I103" i="2"/>
  <c r="I231" i="2" s="1"/>
  <c r="J237" i="2"/>
  <c r="I54" i="2"/>
  <c r="I183" i="2" s="1"/>
  <c r="J184" i="2"/>
  <c r="J174" i="2"/>
  <c r="I54" i="4"/>
  <c r="J54" i="4" s="1"/>
  <c r="K54" i="4" s="1"/>
  <c r="J175" i="2"/>
  <c r="J235" i="2"/>
  <c r="L239" i="2"/>
  <c r="H28" i="4"/>
  <c r="G88" i="4"/>
  <c r="L234" i="2"/>
  <c r="K35" i="4"/>
  <c r="L54" i="2"/>
  <c r="J53" i="2"/>
  <c r="H170" i="2"/>
  <c r="H291" i="2"/>
  <c r="D31" i="8" s="1"/>
  <c r="D49" i="8" s="1"/>
  <c r="H32" i="2"/>
  <c r="I32" i="2" s="1"/>
  <c r="H52" i="4"/>
  <c r="J51" i="2" l="1"/>
  <c r="L238" i="2"/>
  <c r="L176" i="2"/>
  <c r="I32" i="4"/>
  <c r="J52" i="2" s="1"/>
  <c r="J181" i="2" s="1"/>
  <c r="L187" i="2"/>
  <c r="L184" i="2"/>
  <c r="L186" i="2"/>
  <c r="K4" i="4"/>
  <c r="K22" i="4" s="1"/>
  <c r="L48" i="2" s="1"/>
  <c r="L177" i="2" s="1"/>
  <c r="K42" i="2"/>
  <c r="K171" i="2" s="1"/>
  <c r="L174" i="2"/>
  <c r="L236" i="2"/>
  <c r="L173" i="2"/>
  <c r="L185" i="2"/>
  <c r="L235" i="2"/>
  <c r="I180" i="2"/>
  <c r="L237" i="2"/>
  <c r="J35" i="4"/>
  <c r="L178" i="2"/>
  <c r="L232" i="2"/>
  <c r="L175" i="2"/>
  <c r="L233" i="2"/>
  <c r="H3" i="4"/>
  <c r="H88" i="4" s="1"/>
  <c r="G7" i="7" s="1"/>
  <c r="J171" i="2"/>
  <c r="I41" i="2"/>
  <c r="I170" i="2" s="1"/>
  <c r="I171" i="2"/>
  <c r="I81" i="4"/>
  <c r="J113" i="2" s="1"/>
  <c r="J241" i="2" s="1"/>
  <c r="K7" i="4"/>
  <c r="L43" i="2" s="1"/>
  <c r="L172" i="2" s="1"/>
  <c r="J177" i="2"/>
  <c r="J81" i="4"/>
  <c r="K113" i="2" s="1"/>
  <c r="K103" i="2"/>
  <c r="K177" i="2"/>
  <c r="I3" i="4"/>
  <c r="J41" i="2"/>
  <c r="J103" i="2"/>
  <c r="J231" i="2" s="1"/>
  <c r="I53" i="2"/>
  <c r="I182" i="2" s="1"/>
  <c r="J183" i="2"/>
  <c r="J3" i="4"/>
  <c r="J180" i="2"/>
  <c r="K51" i="2"/>
  <c r="J32" i="4"/>
  <c r="K52" i="2" s="1"/>
  <c r="K181" i="2" s="1"/>
  <c r="K29" i="4"/>
  <c r="K81" i="4"/>
  <c r="L113" i="2" s="1"/>
  <c r="L103" i="2"/>
  <c r="L53" i="2"/>
  <c r="L183" i="2"/>
  <c r="K53" i="2"/>
  <c r="K182" i="2" s="1"/>
  <c r="K183" i="2"/>
  <c r="L42" i="2" l="1"/>
  <c r="L171" i="2" s="1"/>
  <c r="K41" i="2"/>
  <c r="K170" i="2" s="1"/>
  <c r="J50" i="2"/>
  <c r="J179" i="2" s="1"/>
  <c r="I28" i="4"/>
  <c r="J170" i="2"/>
  <c r="K231" i="2"/>
  <c r="I52" i="4"/>
  <c r="K241" i="2"/>
  <c r="J52" i="4"/>
  <c r="L241" i="2"/>
  <c r="I291" i="2"/>
  <c r="E31" i="8" s="1"/>
  <c r="E49" i="8" s="1"/>
  <c r="J182" i="2"/>
  <c r="H89" i="4"/>
  <c r="J291" i="2"/>
  <c r="F31" i="8" s="1"/>
  <c r="F49" i="8" s="1"/>
  <c r="K3" i="4"/>
  <c r="K180" i="2"/>
  <c r="K50" i="2"/>
  <c r="J28" i="4"/>
  <c r="L231" i="2"/>
  <c r="G8" i="7"/>
  <c r="G15" i="7"/>
  <c r="H312" i="2"/>
  <c r="K52" i="4"/>
  <c r="L182" i="2"/>
  <c r="L51" i="2"/>
  <c r="K32" i="4"/>
  <c r="L52" i="2" s="1"/>
  <c r="L181" i="2" s="1"/>
  <c r="L41" i="2" l="1"/>
  <c r="L170" i="2" s="1"/>
  <c r="I88" i="4"/>
  <c r="I89" i="4" s="1"/>
  <c r="K179" i="2"/>
  <c r="J88" i="4"/>
  <c r="J89" i="4" s="1"/>
  <c r="K291" i="2"/>
  <c r="G31" i="8" s="1"/>
  <c r="G49" i="8" s="1"/>
  <c r="L50" i="2"/>
  <c r="L179" i="2" s="1"/>
  <c r="L180" i="2"/>
  <c r="H313" i="2"/>
  <c r="D32" i="8" s="1"/>
  <c r="G6" i="7"/>
  <c r="K28" i="4"/>
  <c r="K88" i="4" s="1"/>
  <c r="H10" i="2"/>
  <c r="D47" i="8" s="1"/>
  <c r="G4" i="7"/>
  <c r="H9" i="2" s="1"/>
  <c r="H14" i="2" s="1"/>
  <c r="H18" i="2" s="1"/>
  <c r="L291" i="2" l="1"/>
  <c r="H31" i="8" s="1"/>
  <c r="H49" i="8" s="1"/>
  <c r="H19" i="2"/>
  <c r="H22" i="2" s="1"/>
  <c r="H112" i="2"/>
  <c r="H7" i="7"/>
  <c r="K89" i="4"/>
  <c r="H15" i="7" l="1"/>
  <c r="H8" i="7"/>
  <c r="I312" i="2"/>
  <c r="D23" i="8"/>
  <c r="H240" i="2"/>
  <c r="D17" i="8"/>
  <c r="D19" i="8" s="1"/>
  <c r="D21" i="8" s="1"/>
  <c r="H102" i="2"/>
  <c r="H289" i="2"/>
  <c r="H293" i="2" s="1"/>
  <c r="H23" i="2"/>
  <c r="H25" i="2" s="1"/>
  <c r="G30" i="6"/>
  <c r="H27" i="2" l="1"/>
  <c r="H26" i="2"/>
  <c r="D28" i="8"/>
  <c r="H230" i="2"/>
  <c r="H101" i="2"/>
  <c r="D24" i="8"/>
  <c r="D51" i="8" s="1"/>
  <c r="D34" i="8"/>
  <c r="G38" i="6"/>
  <c r="H315" i="2" s="1"/>
  <c r="H318" i="2" s="1"/>
  <c r="I313" i="2"/>
  <c r="E32" i="8" s="1"/>
  <c r="H6" i="7"/>
  <c r="I10" i="2"/>
  <c r="E47" i="8" s="1"/>
  <c r="H4" i="7"/>
  <c r="I9" i="2" s="1"/>
  <c r="I112" i="2" l="1"/>
  <c r="I7" i="7"/>
  <c r="H229" i="2"/>
  <c r="G28" i="6"/>
  <c r="D45" i="8"/>
  <c r="G35" i="5"/>
  <c r="H296" i="2" l="1"/>
  <c r="H307" i="2" s="1"/>
  <c r="H320" i="2" s="1"/>
  <c r="D30" i="8"/>
  <c r="G30" i="5"/>
  <c r="G32" i="5" s="1"/>
  <c r="E23" i="8"/>
  <c r="I240" i="2"/>
  <c r="E17" i="8"/>
  <c r="E19" i="8" s="1"/>
  <c r="E21" i="8" s="1"/>
  <c r="H148" i="2"/>
  <c r="H276" i="2" s="1"/>
  <c r="G26" i="6"/>
  <c r="I15" i="7"/>
  <c r="J312" i="2"/>
  <c r="I8" i="7"/>
  <c r="G23" i="7" l="1"/>
  <c r="G25" i="7" s="1"/>
  <c r="H29" i="7" s="1"/>
  <c r="H34" i="7" s="1"/>
  <c r="H3" i="7" s="1"/>
  <c r="I8" i="2" s="1"/>
  <c r="I14" i="2" s="1"/>
  <c r="I18" i="2" s="1"/>
  <c r="H323" i="2"/>
  <c r="E24" i="8"/>
  <c r="E51" i="8" s="1"/>
  <c r="E34" i="8"/>
  <c r="J313" i="2"/>
  <c r="F32" i="8" s="1"/>
  <c r="I6" i="7"/>
  <c r="G27" i="5"/>
  <c r="H29" i="5"/>
  <c r="I4" i="7"/>
  <c r="J9" i="2" s="1"/>
  <c r="J10" i="2"/>
  <c r="F47" i="8" s="1"/>
  <c r="D48" i="8"/>
  <c r="D50" i="8" s="1"/>
  <c r="D52" i="8" s="1"/>
  <c r="D33" i="8"/>
  <c r="D35" i="8" s="1"/>
  <c r="H146" i="2"/>
  <c r="G3" i="6"/>
  <c r="H27" i="6"/>
  <c r="G34" i="6"/>
  <c r="E14" i="9" s="1"/>
  <c r="H133" i="2" l="1"/>
  <c r="H274" i="2"/>
  <c r="J112" i="2"/>
  <c r="J7" i="7"/>
  <c r="H31" i="5"/>
  <c r="H9" i="5" s="1"/>
  <c r="I321" i="2"/>
  <c r="H34" i="2"/>
  <c r="H22" i="7"/>
  <c r="I147" i="2"/>
  <c r="I275" i="2" s="1"/>
  <c r="H35" i="6"/>
  <c r="H85" i="4" s="1"/>
  <c r="H84" i="4" s="1"/>
  <c r="H32" i="6"/>
  <c r="H31" i="6" s="1"/>
  <c r="G25" i="5"/>
  <c r="H82" i="2" s="1"/>
  <c r="H84" i="2"/>
  <c r="H212" i="2" s="1"/>
  <c r="I19" i="2"/>
  <c r="I22" i="2" s="1"/>
  <c r="H22" i="6" l="1"/>
  <c r="J8" i="7"/>
  <c r="J15" i="7"/>
  <c r="K312" i="2"/>
  <c r="I86" i="4"/>
  <c r="J242" i="2" s="1"/>
  <c r="I114" i="2"/>
  <c r="H163" i="2"/>
  <c r="H33" i="2"/>
  <c r="F23" i="8"/>
  <c r="J240" i="2"/>
  <c r="F17" i="8"/>
  <c r="F19" i="8" s="1"/>
  <c r="F21" i="8" s="1"/>
  <c r="I289" i="2"/>
  <c r="I23" i="2"/>
  <c r="I25" i="2" s="1"/>
  <c r="H30" i="6"/>
  <c r="H210" i="2"/>
  <c r="H60" i="2"/>
  <c r="H188" i="2" s="1"/>
  <c r="H4" i="5"/>
  <c r="H20" i="5"/>
  <c r="H10" i="5" s="1"/>
  <c r="K20" i="5"/>
  <c r="J20" i="5"/>
  <c r="I20" i="5"/>
  <c r="H261" i="2"/>
  <c r="H132" i="2"/>
  <c r="I27" i="2" l="1"/>
  <c r="I26" i="2"/>
  <c r="E28" i="8"/>
  <c r="I100" i="2"/>
  <c r="I102" i="2"/>
  <c r="J4" i="7"/>
  <c r="K9" i="2" s="1"/>
  <c r="K10" i="2"/>
  <c r="G47" i="8" s="1"/>
  <c r="H38" i="6"/>
  <c r="I315" i="2" s="1"/>
  <c r="I318" i="2" s="1"/>
  <c r="H162" i="2"/>
  <c r="H98" i="2"/>
  <c r="K313" i="2"/>
  <c r="G32" i="8" s="1"/>
  <c r="J6" i="7"/>
  <c r="I71" i="2"/>
  <c r="F24" i="8"/>
  <c r="F51" i="8" s="1"/>
  <c r="F34" i="8"/>
  <c r="I143" i="2"/>
  <c r="H5" i="5"/>
  <c r="H3" i="5" s="1"/>
  <c r="I290" i="2"/>
  <c r="E29" i="8" s="1"/>
  <c r="E46" i="8" s="1"/>
  <c r="H260" i="2"/>
  <c r="H156" i="2"/>
  <c r="H11" i="5"/>
  <c r="I7" i="5" s="1"/>
  <c r="I293" i="2" l="1"/>
  <c r="H35" i="5" s="1"/>
  <c r="I296" i="2" s="1"/>
  <c r="I307" i="2" s="1"/>
  <c r="I320" i="2" s="1"/>
  <c r="I72" i="2"/>
  <c r="I200" i="2" s="1"/>
  <c r="I199" i="2"/>
  <c r="I101" i="2"/>
  <c r="I230" i="2"/>
  <c r="H158" i="2"/>
  <c r="H226" i="2"/>
  <c r="E45" i="8"/>
  <c r="H284" i="2"/>
  <c r="H157" i="2"/>
  <c r="I271" i="2"/>
  <c r="K112" i="2"/>
  <c r="K7" i="7"/>
  <c r="H28" i="6"/>
  <c r="E30" i="8" l="1"/>
  <c r="E48" i="8" s="1"/>
  <c r="E50" i="8" s="1"/>
  <c r="E52" i="8" s="1"/>
  <c r="H30" i="5"/>
  <c r="H32" i="5" s="1"/>
  <c r="I29" i="5" s="1"/>
  <c r="I70" i="2"/>
  <c r="I198" i="2" s="1"/>
  <c r="I323" i="2"/>
  <c r="H23" i="7"/>
  <c r="H25" i="7" s="1"/>
  <c r="I29" i="7" s="1"/>
  <c r="I34" i="7" s="1"/>
  <c r="I3" i="7" s="1"/>
  <c r="J8" i="2" s="1"/>
  <c r="J14" i="2" s="1"/>
  <c r="J18" i="2" s="1"/>
  <c r="I229" i="2"/>
  <c r="I148" i="2"/>
  <c r="I276" i="2" s="1"/>
  <c r="H26" i="6"/>
  <c r="K240" i="2"/>
  <c r="G23" i="8"/>
  <c r="G17" i="8"/>
  <c r="G19" i="8" s="1"/>
  <c r="G21" i="8" s="1"/>
  <c r="K15" i="7"/>
  <c r="L312" i="2"/>
  <c r="K8" i="7"/>
  <c r="I69" i="2" l="1"/>
  <c r="I197" i="2" s="1"/>
  <c r="H27" i="5"/>
  <c r="H25" i="5" s="1"/>
  <c r="I82" i="2" s="1"/>
  <c r="I210" i="2" s="1"/>
  <c r="E33" i="8"/>
  <c r="E35" i="8" s="1"/>
  <c r="I31" i="5"/>
  <c r="I9" i="5" s="1"/>
  <c r="I146" i="2"/>
  <c r="I27" i="6"/>
  <c r="H34" i="6"/>
  <c r="H3" i="6"/>
  <c r="G24" i="8"/>
  <c r="G51" i="8" s="1"/>
  <c r="G34" i="8"/>
  <c r="J19" i="2"/>
  <c r="J22" i="2" s="1"/>
  <c r="L313" i="2"/>
  <c r="H32" i="8" s="1"/>
  <c r="K6" i="7"/>
  <c r="L112" i="2" s="1"/>
  <c r="K4" i="7"/>
  <c r="L9" i="2" s="1"/>
  <c r="L10" i="2"/>
  <c r="H47" i="8" s="1"/>
  <c r="J321" i="2"/>
  <c r="I34" i="2"/>
  <c r="I22" i="7"/>
  <c r="I84" i="2" l="1"/>
  <c r="I212" i="2" s="1"/>
  <c r="I60" i="2"/>
  <c r="I188" i="2" s="1"/>
  <c r="L240" i="2"/>
  <c r="H23" i="8"/>
  <c r="H17" i="8"/>
  <c r="H19" i="8" s="1"/>
  <c r="H21" i="8" s="1"/>
  <c r="I163" i="2"/>
  <c r="I33" i="2"/>
  <c r="I30" i="6"/>
  <c r="J23" i="2"/>
  <c r="J25" i="2" s="1"/>
  <c r="J289" i="2"/>
  <c r="J147" i="2"/>
  <c r="J275" i="2" s="1"/>
  <c r="I32" i="6"/>
  <c r="I31" i="6" s="1"/>
  <c r="I35" i="6"/>
  <c r="I85" i="4" s="1"/>
  <c r="I84" i="4" s="1"/>
  <c r="I274" i="2"/>
  <c r="I133" i="2"/>
  <c r="J21" i="5"/>
  <c r="K21" i="5"/>
  <c r="I21" i="5"/>
  <c r="I10" i="5" s="1"/>
  <c r="I11" i="5" s="1"/>
  <c r="J7" i="5" s="1"/>
  <c r="I4" i="5"/>
  <c r="H24" i="8" l="1"/>
  <c r="H51" i="8" s="1"/>
  <c r="H34" i="8"/>
  <c r="J26" i="2"/>
  <c r="J27" i="2"/>
  <c r="F28" i="8"/>
  <c r="I38" i="6"/>
  <c r="J315" i="2" s="1"/>
  <c r="J318" i="2" s="1"/>
  <c r="I98" i="2"/>
  <c r="I162" i="2"/>
  <c r="J114" i="2"/>
  <c r="J102" i="2" s="1"/>
  <c r="J86" i="4"/>
  <c r="K242" i="2" s="1"/>
  <c r="J71" i="2"/>
  <c r="I22" i="6"/>
  <c r="J290" i="2"/>
  <c r="F29" i="8" s="1"/>
  <c r="F46" i="8" s="1"/>
  <c r="I5" i="5"/>
  <c r="I3" i="5" s="1"/>
  <c r="I132" i="2"/>
  <c r="I261" i="2"/>
  <c r="J293" i="2" l="1"/>
  <c r="I35" i="5" s="1"/>
  <c r="F30" i="8" s="1"/>
  <c r="F48" i="8" s="1"/>
  <c r="I28" i="6"/>
  <c r="I26" i="6" s="1"/>
  <c r="I3" i="6" s="1"/>
  <c r="J199" i="2"/>
  <c r="J143" i="2"/>
  <c r="I260" i="2"/>
  <c r="I156" i="2"/>
  <c r="I158" i="2" s="1"/>
  <c r="I226" i="2"/>
  <c r="F45" i="8"/>
  <c r="J72" i="2"/>
  <c r="J200" i="2" s="1"/>
  <c r="J101" i="2"/>
  <c r="J230" i="2"/>
  <c r="I30" i="5" l="1"/>
  <c r="I32" i="5" s="1"/>
  <c r="J29" i="5" s="1"/>
  <c r="J296" i="2"/>
  <c r="J307" i="2" s="1"/>
  <c r="J320" i="2" s="1"/>
  <c r="I23" i="7" s="1"/>
  <c r="I25" i="7" s="1"/>
  <c r="J29" i="7" s="1"/>
  <c r="J34" i="7" s="1"/>
  <c r="J3" i="7" s="1"/>
  <c r="K8" i="2" s="1"/>
  <c r="K14" i="2" s="1"/>
  <c r="K18" i="2" s="1"/>
  <c r="J148" i="2"/>
  <c r="J276" i="2" s="1"/>
  <c r="F50" i="8"/>
  <c r="F52" i="8" s="1"/>
  <c r="F33" i="8"/>
  <c r="F35" i="8" s="1"/>
  <c r="J70" i="2"/>
  <c r="J198" i="2" s="1"/>
  <c r="J27" i="6"/>
  <c r="J146" i="2"/>
  <c r="J274" i="2" s="1"/>
  <c r="I34" i="6"/>
  <c r="J271" i="2"/>
  <c r="J229" i="2"/>
  <c r="I284" i="2"/>
  <c r="I157" i="2"/>
  <c r="J323" i="2" l="1"/>
  <c r="J22" i="7" s="1"/>
  <c r="I27" i="5"/>
  <c r="I25" i="5" s="1"/>
  <c r="J82" i="2" s="1"/>
  <c r="J210" i="2" s="1"/>
  <c r="J69" i="2"/>
  <c r="J197" i="2" s="1"/>
  <c r="J133" i="2"/>
  <c r="J261" i="2" s="1"/>
  <c r="J31" i="5"/>
  <c r="J9" i="5" s="1"/>
  <c r="K19" i="2"/>
  <c r="K22" i="2" s="1"/>
  <c r="J32" i="6"/>
  <c r="J31" i="6" s="1"/>
  <c r="J35" i="6"/>
  <c r="J85" i="4" s="1"/>
  <c r="J84" i="4" s="1"/>
  <c r="K147" i="2"/>
  <c r="K275" i="2" s="1"/>
  <c r="J84" i="2" l="1"/>
  <c r="J212" i="2" s="1"/>
  <c r="J34" i="2"/>
  <c r="J163" i="2" s="1"/>
  <c r="K321" i="2"/>
  <c r="J132" i="2"/>
  <c r="J260" i="2" s="1"/>
  <c r="J60" i="2"/>
  <c r="J188" i="2" s="1"/>
  <c r="K23" i="2"/>
  <c r="K25" i="2" s="1"/>
  <c r="K289" i="2"/>
  <c r="J30" i="6"/>
  <c r="K22" i="5"/>
  <c r="J22" i="5"/>
  <c r="J10" i="5" s="1"/>
  <c r="J11" i="5" s="1"/>
  <c r="K7" i="5" s="1"/>
  <c r="J4" i="5"/>
  <c r="K114" i="2"/>
  <c r="K102" i="2" s="1"/>
  <c r="K86" i="4"/>
  <c r="L242" i="2" s="1"/>
  <c r="J22" i="6"/>
  <c r="J33" i="2" l="1"/>
  <c r="J98" i="2" s="1"/>
  <c r="J156" i="2"/>
  <c r="J284" i="2" s="1"/>
  <c r="K101" i="2"/>
  <c r="K230" i="2"/>
  <c r="K27" i="2"/>
  <c r="K26" i="2"/>
  <c r="G28" i="8"/>
  <c r="K143" i="2"/>
  <c r="K290" i="2"/>
  <c r="G29" i="8" s="1"/>
  <c r="G46" i="8" s="1"/>
  <c r="J5" i="5"/>
  <c r="J3" i="5" s="1"/>
  <c r="J38" i="6"/>
  <c r="K315" i="2" s="1"/>
  <c r="K318" i="2" s="1"/>
  <c r="K71" i="2"/>
  <c r="J162" i="2" l="1"/>
  <c r="K293" i="2"/>
  <c r="J35" i="5" s="1"/>
  <c r="K199" i="2"/>
  <c r="K271" i="2"/>
  <c r="G45" i="8"/>
  <c r="J226" i="2"/>
  <c r="J158" i="2"/>
  <c r="J157" i="2"/>
  <c r="J28" i="6"/>
  <c r="K72" i="2"/>
  <c r="K200" i="2" s="1"/>
  <c r="K229" i="2"/>
  <c r="K70" i="2" l="1"/>
  <c r="K198" i="2" s="1"/>
  <c r="K148" i="2"/>
  <c r="K276" i="2" s="1"/>
  <c r="J26" i="6"/>
  <c r="J30" i="5"/>
  <c r="J32" i="5" s="1"/>
  <c r="G30" i="8"/>
  <c r="K296" i="2"/>
  <c r="K307" i="2" s="1"/>
  <c r="K320" i="2" s="1"/>
  <c r="K69" i="2" l="1"/>
  <c r="K197" i="2" s="1"/>
  <c r="J23" i="7"/>
  <c r="J25" i="7" s="1"/>
  <c r="K29" i="7" s="1"/>
  <c r="K34" i="7" s="1"/>
  <c r="K3" i="7" s="1"/>
  <c r="L8" i="2" s="1"/>
  <c r="L14" i="2" s="1"/>
  <c r="L18" i="2" s="1"/>
  <c r="K323" i="2"/>
  <c r="G48" i="8"/>
  <c r="G50" i="8" s="1"/>
  <c r="G52" i="8" s="1"/>
  <c r="G33" i="8"/>
  <c r="G35" i="8" s="1"/>
  <c r="K29" i="5"/>
  <c r="J27" i="5"/>
  <c r="K146" i="2"/>
  <c r="K27" i="6"/>
  <c r="J34" i="6"/>
  <c r="J3" i="6"/>
  <c r="L147" i="2" l="1"/>
  <c r="L275" i="2" s="1"/>
  <c r="K32" i="6"/>
  <c r="K31" i="6" s="1"/>
  <c r="K35" i="6"/>
  <c r="K85" i="4" s="1"/>
  <c r="K84" i="4" s="1"/>
  <c r="L114" i="2" s="1"/>
  <c r="L102" i="2" s="1"/>
  <c r="K31" i="5"/>
  <c r="K9" i="5" s="1"/>
  <c r="L321" i="2"/>
  <c r="K34" i="2"/>
  <c r="K22" i="7"/>
  <c r="K84" i="2"/>
  <c r="K212" i="2" s="1"/>
  <c r="J25" i="5"/>
  <c r="K82" i="2" s="1"/>
  <c r="K274" i="2"/>
  <c r="K133" i="2"/>
  <c r="L19" i="2"/>
  <c r="L22" i="2" s="1"/>
  <c r="L23" i="2" l="1"/>
  <c r="L25" i="2" s="1"/>
  <c r="K30" i="6"/>
  <c r="L289" i="2"/>
  <c r="L230" i="2"/>
  <c r="L101" i="2"/>
  <c r="K33" i="2"/>
  <c r="K163" i="2"/>
  <c r="K132" i="2"/>
  <c r="K261" i="2"/>
  <c r="K23" i="5"/>
  <c r="K10" i="5" s="1"/>
  <c r="K4" i="5"/>
  <c r="K210" i="2"/>
  <c r="K60" i="2"/>
  <c r="K188" i="2" s="1"/>
  <c r="K22" i="6"/>
  <c r="L26" i="2" l="1"/>
  <c r="L27" i="2"/>
  <c r="H28" i="8"/>
  <c r="K260" i="2"/>
  <c r="K156" i="2"/>
  <c r="L229" i="2"/>
  <c r="L290" i="2"/>
  <c r="H29" i="8" s="1"/>
  <c r="H46" i="8" s="1"/>
  <c r="K5" i="5"/>
  <c r="L72" i="2" s="1"/>
  <c r="L200" i="2" s="1"/>
  <c r="K38" i="6"/>
  <c r="L315" i="2" s="1"/>
  <c r="L318" i="2" s="1"/>
  <c r="L71" i="2"/>
  <c r="L143" i="2"/>
  <c r="K162" i="2"/>
  <c r="K98" i="2"/>
  <c r="K11" i="5"/>
  <c r="K28" i="6" l="1"/>
  <c r="L148" i="2" s="1"/>
  <c r="L276" i="2" s="1"/>
  <c r="H45" i="8"/>
  <c r="L271" i="2"/>
  <c r="K157" i="2"/>
  <c r="K284" i="2"/>
  <c r="K158" i="2"/>
  <c r="K226" i="2"/>
  <c r="L293" i="2"/>
  <c r="K35" i="5" s="1"/>
  <c r="L199" i="2"/>
  <c r="L70" i="2"/>
  <c r="K3" i="5"/>
  <c r="K26" i="6" l="1"/>
  <c r="L146" i="2" s="1"/>
  <c r="K30" i="5"/>
  <c r="K32" i="5" s="1"/>
  <c r="K27" i="5" s="1"/>
  <c r="H30" i="8"/>
  <c r="L296" i="2"/>
  <c r="L307" i="2" s="1"/>
  <c r="L320" i="2" s="1"/>
  <c r="L198" i="2"/>
  <c r="L69" i="2"/>
  <c r="K3" i="6" l="1"/>
  <c r="K34" i="6"/>
  <c r="L84" i="2"/>
  <c r="L212" i="2" s="1"/>
  <c r="K25" i="5"/>
  <c r="L82" i="2" s="1"/>
  <c r="L210" i="2" s="1"/>
  <c r="L274" i="2"/>
  <c r="L133" i="2"/>
  <c r="L197" i="2"/>
  <c r="K23" i="7"/>
  <c r="K25" i="7" s="1"/>
  <c r="L323" i="2"/>
  <c r="L34" i="2" s="1"/>
  <c r="H48" i="8"/>
  <c r="H50" i="8" s="1"/>
  <c r="H52" i="8" s="1"/>
  <c r="H33" i="8"/>
  <c r="H35" i="8" s="1"/>
  <c r="L60" i="2" l="1"/>
  <c r="L188" i="2" s="1"/>
  <c r="L132" i="2"/>
  <c r="L261" i="2"/>
  <c r="C54" i="8"/>
  <c r="C55" i="8" s="1"/>
  <c r="C53" i="8"/>
  <c r="L163" i="2"/>
  <c r="L33" i="2"/>
  <c r="C37" i="8"/>
  <c r="C38" i="8" s="1"/>
  <c r="C36" i="8"/>
  <c r="C40" i="8" l="1"/>
  <c r="C42" i="8" s="1"/>
  <c r="B3" i="8" s="1"/>
  <c r="L162" i="2"/>
  <c r="L98" i="2"/>
  <c r="C56" i="8"/>
  <c r="C59" i="8" s="1"/>
  <c r="C61" i="8" s="1"/>
  <c r="B4" i="8" s="1"/>
  <c r="L260" i="2"/>
  <c r="L156" i="2"/>
  <c r="B40" i="3" l="1"/>
  <c r="B6" i="8"/>
  <c r="L157" i="2"/>
  <c r="L284" i="2"/>
  <c r="L226" i="2"/>
  <c r="L158" i="2"/>
  <c r="B8" i="8" l="1"/>
  <c r="B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Tuan</author>
  </authors>
  <commentList>
    <comment ref="B2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Tuan:</t>
        </r>
        <r>
          <rPr>
            <sz val="9"/>
            <color indexed="81"/>
            <rFont val="Tahoma"/>
            <family val="2"/>
          </rPr>
          <t xml:space="preserve">
Lấy theo Damondaran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VietHoang</author>
  </authors>
  <commentList>
    <comment ref="A13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VietHoang:</t>
        </r>
        <r>
          <rPr>
            <sz val="9"/>
            <color indexed="81"/>
            <rFont val="Segoe UI"/>
            <family val="2"/>
          </rPr>
          <t xml:space="preserve">
Lấy beta trên trang cafef.vn</t>
        </r>
      </text>
    </comment>
  </commentList>
</comments>
</file>

<file path=xl/sharedStrings.xml><?xml version="1.0" encoding="utf-8"?>
<sst xmlns="http://schemas.openxmlformats.org/spreadsheetml/2006/main" count="626" uniqueCount="373">
  <si>
    <t>Thay đổi</t>
  </si>
  <si>
    <t>Giá</t>
  </si>
  <si>
    <t>PL</t>
  </si>
  <si>
    <t>Thuế suất</t>
  </si>
  <si>
    <t>% LNST</t>
  </si>
  <si>
    <t>BS</t>
  </si>
  <si>
    <t>TS - NV</t>
  </si>
  <si>
    <t>Thay đổi BS</t>
  </si>
  <si>
    <t>CF4</t>
  </si>
  <si>
    <t>CF5</t>
  </si>
  <si>
    <t>CF6</t>
  </si>
  <si>
    <t>CF2</t>
  </si>
  <si>
    <t>Chi quỹ khen thưởng, phúc lợi</t>
  </si>
  <si>
    <t>CF</t>
  </si>
  <si>
    <t>Lãi lỗ sau thuế</t>
  </si>
  <si>
    <t>Khấu hao TSCĐ</t>
  </si>
  <si>
    <t>Thay đổi vốn lưu động</t>
  </si>
  <si>
    <t>Thay đổi khác</t>
  </si>
  <si>
    <t>3/ Tốc độ tăng trưởng doanh thu quý</t>
  </si>
  <si>
    <t>Q3/2019</t>
  </si>
  <si>
    <t>Q4/2019</t>
  </si>
  <si>
    <t>Q1/2020</t>
  </si>
  <si>
    <t>Q2/2020</t>
  </si>
  <si>
    <t>I/ Dự phóng doanh thu</t>
  </si>
  <si>
    <t>"Sheet này các bạn trình bày cách dự phóng doanh thu của mình vào nhé!"</t>
  </si>
  <si>
    <t>" Cách hiện tại đang dự phóng theo trend và tốc độ tăng trưởng của doanh nghiệp trong quá khứ"</t>
  </si>
  <si>
    <t>Doanh thu thuần</t>
  </si>
  <si>
    <t>Giá vốn</t>
  </si>
  <si>
    <t>% doanh thu thuần</t>
  </si>
  <si>
    <t>&gt;0</t>
  </si>
  <si>
    <t>CP bán hàng</t>
  </si>
  <si>
    <t>% doanh thu</t>
  </si>
  <si>
    <t>CP quản lý DN</t>
  </si>
  <si>
    <t>III/ Phân tích độ nhạy</t>
  </si>
  <si>
    <t>" Phân tích độ nhạy khi biên lãi gộp và phần bù rủi ro thị trường dao động"</t>
  </si>
  <si>
    <t>Phần bù rủi ro thị trường</t>
  </si>
  <si>
    <t>=&gt;</t>
  </si>
  <si>
    <t>WACC ~</t>
  </si>
  <si>
    <t>Min</t>
  </si>
  <si>
    <t>Trung bình 3 năm gần nhất</t>
  </si>
  <si>
    <t>Trung bình cộng</t>
  </si>
  <si>
    <t>Trung bình 2 năm gần nhất</t>
  </si>
  <si>
    <t>Năm gần nhất</t>
  </si>
  <si>
    <t>Max</t>
  </si>
  <si>
    <t>Giá trị nội tại</t>
  </si>
  <si>
    <t>Biên lãi gộp</t>
  </si>
  <si>
    <t>Phần bù rủi ro thị trường ( ERP)</t>
  </si>
  <si>
    <t>TS ngắn hạn</t>
  </si>
  <si>
    <t>Vòng quay phải thu</t>
  </si>
  <si>
    <t>Vòng quay trả trước người bán</t>
  </si>
  <si>
    <t>% khoản phải thu</t>
  </si>
  <si>
    <t>Vòng quay HTK</t>
  </si>
  <si>
    <t>% hàng tồn kho</t>
  </si>
  <si>
    <t>Nợ phải trả ngắn hạn (không kể vay ngắn hạn)</t>
  </si>
  <si>
    <t>Vòng quay phải trả người bán ngắn hạn</t>
  </si>
  <si>
    <t>% phải trả người bán ngắn hạn</t>
  </si>
  <si>
    <t>12. Quỹ khen thưởng phúc lợi</t>
  </si>
  <si>
    <t>Trích quỹ</t>
  </si>
  <si>
    <t>Sử dụng quỹ</t>
  </si>
  <si>
    <t>Nhu cầu vốn lưu động</t>
  </si>
  <si>
    <t>TSCĐ hữu hình</t>
  </si>
  <si>
    <t>Đầu kì</t>
  </si>
  <si>
    <t>Tăng thêm</t>
  </si>
  <si>
    <t>Chuyển từ TSXDDD</t>
  </si>
  <si>
    <t>Khấu hao</t>
  </si>
  <si>
    <t>Cuối kì</t>
  </si>
  <si>
    <t>Khấu hao TSCĐ hiện có</t>
  </si>
  <si>
    <t>(Khấu hao nhanh)</t>
  </si>
  <si>
    <t>Khấu hao TSCD HH và VH</t>
  </si>
  <si>
    <t>Nguyên giá</t>
  </si>
  <si>
    <t>Khấu hao TSCĐ năm 2020</t>
  </si>
  <si>
    <t>Khấu hao TSCĐ năm 2021</t>
  </si>
  <si>
    <t>Vòng đời</t>
  </si>
  <si>
    <t>Khấu hao TSCĐ năm 2022</t>
  </si>
  <si>
    <t>Khấu hao TSCĐ năm 2023</t>
  </si>
  <si>
    <t>Khấu hao TSCĐ năm 2024</t>
  </si>
  <si>
    <t>Chuyển xuống TSCĐ</t>
  </si>
  <si>
    <t>CAPEX</t>
  </si>
  <si>
    <t>Mua mới</t>
  </si>
  <si>
    <t>%doanh thu</t>
  </si>
  <si>
    <t>Vốn chủ sở hữu</t>
  </si>
  <si>
    <t>Số cổ phần tăng thêm</t>
  </si>
  <si>
    <t>Mệnh giá</t>
  </si>
  <si>
    <t>Giá bán</t>
  </si>
  <si>
    <t>Thặng dư vốn cổ phần tăng thêm</t>
  </si>
  <si>
    <t>Lợi nhuận ròng</t>
  </si>
  <si>
    <t>Trích quỹ đầu tư phát triển</t>
  </si>
  <si>
    <t>% LNSTCPP</t>
  </si>
  <si>
    <t>Trích quỹ khen thưởng phúc lợi</t>
  </si>
  <si>
    <t>Cổ tức</t>
  </si>
  <si>
    <t>Tỉ suất cổ tức</t>
  </si>
  <si>
    <t>DT &amp; CP tài chính</t>
  </si>
  <si>
    <t>DT tài chính</t>
  </si>
  <si>
    <t>Chi phí tài chính</t>
  </si>
  <si>
    <t>Vay ngắn hạn</t>
  </si>
  <si>
    <t>Vay dài hạn</t>
  </si>
  <si>
    <t>Vay thêm (+)</t>
  </si>
  <si>
    <t>Trả nợ (-)</t>
  </si>
  <si>
    <t>Lãi vay</t>
  </si>
  <si>
    <t>Lãi suất trung bình</t>
  </si>
  <si>
    <t>Tỉ lệ nợ vay ngắn hạn/Nhu cầu vốn lưu động</t>
  </si>
  <si>
    <t>Dự phóng tiền mặt</t>
  </si>
  <si>
    <t>+</t>
  </si>
  <si>
    <t>Tiền mặt đầu kì</t>
  </si>
  <si>
    <t>Tiền thu vào trong kì</t>
  </si>
  <si>
    <t>-</t>
  </si>
  <si>
    <t>Tiền mặt tối thiểu để duy trì HĐKD</t>
  </si>
  <si>
    <t>Khoảng &amp; doanh thu</t>
  </si>
  <si>
    <t>Số tiền cần có để trả cho đối tác</t>
  </si>
  <si>
    <t>Dự phóng DT tài chính</t>
  </si>
  <si>
    <t>Giả định tiền mặt cuối kì gửi hết vào ngân hàng, lấy ls ngắn hạn</t>
  </si>
  <si>
    <t>Tiền gửi ngân hàng đâù kì</t>
  </si>
  <si>
    <t>Đầu tư tài chính ngắn hạn là</t>
  </si>
  <si>
    <t>Đầu tư tài chính dài hạn là</t>
  </si>
  <si>
    <t>Ls ngắn hạn</t>
  </si>
  <si>
    <t>LS dài hạn</t>
  </si>
  <si>
    <t>Định giá</t>
  </si>
  <si>
    <t>Tỷ trọng</t>
  </si>
  <si>
    <t>Giá theo FCFE</t>
  </si>
  <si>
    <t>Giá theo FCFF</t>
  </si>
  <si>
    <t>Giá theo P/E</t>
  </si>
  <si>
    <t>Thị giá</t>
  </si>
  <si>
    <t>UP/DOWN</t>
  </si>
  <si>
    <t>Lãi suất phi rủi ro</t>
  </si>
  <si>
    <t>Beta</t>
  </si>
  <si>
    <t>&gt;0.5</t>
  </si>
  <si>
    <t>Blunt adjustment</t>
  </si>
  <si>
    <t>Beta không đòn bẩy</t>
  </si>
  <si>
    <t>Vốn hóa</t>
  </si>
  <si>
    <t>Nợ/Vốn hóa</t>
  </si>
  <si>
    <t>Beta đòn bẩy dự phóng</t>
  </si>
  <si>
    <t>Phần bù rủi ro thị trường (ERP)</t>
  </si>
  <si>
    <t>Chi phí vốn chủ sở hữu</t>
  </si>
  <si>
    <t>Chi phí vay nợ</t>
  </si>
  <si>
    <t>Chi phí vốn bình quân (WACC)</t>
  </si>
  <si>
    <t>Tỉ lệ tăng trưởng dài hạn</t>
  </si>
  <si>
    <t>FCFE</t>
  </si>
  <si>
    <t>Lợi nhuận sau thuế</t>
  </si>
  <si>
    <t>Chi phí phi tiền mặt</t>
  </si>
  <si>
    <t>Đầu tư TSCĐ</t>
  </si>
  <si>
    <t>Đầu tư Vốn lưu động</t>
  </si>
  <si>
    <t>Vay nợ ròng</t>
  </si>
  <si>
    <t>Hệ số chiết khấu</t>
  </si>
  <si>
    <t>Giá trị hiện tại của FCFE</t>
  </si>
  <si>
    <t>Tổng giá trị hiện tại của FCFE</t>
  </si>
  <si>
    <t>Giá trị cuối cùng (Terminal Value)</t>
  </si>
  <si>
    <t>Giá trị hiện tại của giá trị cuối cùng</t>
  </si>
  <si>
    <t>Tiền mặt và tiền gửi ngân hàng</t>
  </si>
  <si>
    <t>Giá trị vốn chủ sở hữu</t>
  </si>
  <si>
    <t>Số cổ phiếu</t>
  </si>
  <si>
    <t>Giá cổ phiếu</t>
  </si>
  <si>
    <t>FCFF</t>
  </si>
  <si>
    <t>Lãi vay sau thuế</t>
  </si>
  <si>
    <t>Giá trị hiện tại của FCFF</t>
  </si>
  <si>
    <t>Tổng giá trị hiện tại của FCFF</t>
  </si>
  <si>
    <t>Giá trị doanh nghiệp</t>
  </si>
  <si>
    <t>Vay nợ</t>
  </si>
  <si>
    <t>STT</t>
  </si>
  <si>
    <t>Giả định</t>
  </si>
  <si>
    <t>Giá trị năm ngoái</t>
  </si>
  <si>
    <t>Giá trị hiện tại</t>
  </si>
  <si>
    <t>Cách tính</t>
  </si>
  <si>
    <t>Chú thích</t>
  </si>
  <si>
    <t>I</t>
  </si>
  <si>
    <t>Vốn lưu động</t>
  </si>
  <si>
    <t>II</t>
  </si>
  <si>
    <t>TSCĐ</t>
  </si>
  <si>
    <t>Vòng đời khấu hao TSCĐ ( năm)</t>
  </si>
  <si>
    <t>III</t>
  </si>
  <si>
    <t>CAPEX/Doanh thu</t>
  </si>
  <si>
    <t>IV</t>
  </si>
  <si>
    <t>V</t>
  </si>
  <si>
    <t>VI</t>
  </si>
  <si>
    <t>DT&amp;CP Tài chính</t>
  </si>
  <si>
    <t>Tiền mặt tối thiểu để duy trì HĐKD/Doanh thu</t>
  </si>
  <si>
    <t>VII</t>
  </si>
  <si>
    <t>Doanh thu</t>
  </si>
  <si>
    <t>VIII</t>
  </si>
  <si>
    <t>Tốc độ tăng trưởng dài hạn</t>
  </si>
  <si>
    <t>IX</t>
  </si>
  <si>
    <t>Khác</t>
  </si>
  <si>
    <t>Lợi ích của cổ đông thiểu số/LNST</t>
  </si>
  <si>
    <t xml:space="preserve">1. Doanh thu bán hàng và cung cấp dịch vụ </t>
  </si>
  <si>
    <t>2. Các khoản giảm trừ doanh thu</t>
  </si>
  <si>
    <t>3. Doanh thu thuần về bán hàng và cung cấp dịch vụ</t>
  </si>
  <si>
    <t xml:space="preserve">4. Giá vốn hàng bán </t>
  </si>
  <si>
    <t>5. Lợi nhuận gộp về bán hàng và cung cấp dịch vụ</t>
  </si>
  <si>
    <t xml:space="preserve">6.Doanh thu hoạt động tài chính </t>
  </si>
  <si>
    <t xml:space="preserve">7. Chi phí tài chính </t>
  </si>
  <si>
    <t xml:space="preserve">   Trong đó :Chi phí lãi vay</t>
  </si>
  <si>
    <t>8. Phần lãi/lỗ trong công ty liên doanh, liên kết</t>
  </si>
  <si>
    <t xml:space="preserve">9. Chi phí bán hàng </t>
  </si>
  <si>
    <t xml:space="preserve">10. Chi phí quản lý doanh nghiệp </t>
  </si>
  <si>
    <t>11. Lợi nhuận thuần từ hoạt động kinh doanh</t>
  </si>
  <si>
    <t xml:space="preserve">12. Thu nhập khác </t>
  </si>
  <si>
    <t xml:space="preserve">13. Chi phí khác </t>
  </si>
  <si>
    <t>14. Lợi nhuận khác</t>
  </si>
  <si>
    <t>15. Tổng lợi nhuận kế toán trước thuế</t>
  </si>
  <si>
    <t>16. Chi phí thuế TNDN hiện hành</t>
  </si>
  <si>
    <t xml:space="preserve">17. Chi phí thuế TNDN hoãn lại </t>
  </si>
  <si>
    <t>18. Lợi nhuận sau thuế thu nhập doanh nghiệp</t>
  </si>
  <si>
    <t>Lợi ích của cổ đông thiểu số</t>
  </si>
  <si>
    <t>Lợi nhuận sau thuế của cổ đông của Công ty mẹ</t>
  </si>
  <si>
    <t>19. Lãi cơ bản trên cổ phiếu (*) (VNÐ)</t>
  </si>
  <si>
    <t xml:space="preserve">TÀI SẢN </t>
  </si>
  <si>
    <t>A. TÀI SẢN NGẮN HẠN</t>
  </si>
  <si>
    <t>I. Tiền và các khoản tương đương tiền</t>
  </si>
  <si>
    <t>1. Tiền</t>
  </si>
  <si>
    <t>2. Các khoản tương đương tiền</t>
  </si>
  <si>
    <t>II.  Đầu tư tài chính ngắn hạn</t>
  </si>
  <si>
    <t>1. Chứng khoán kinh doanh</t>
  </si>
  <si>
    <t>2. Dự phòng giảm giá chứng khoán kinh doanh (*)</t>
  </si>
  <si>
    <t>3. Đầu tư nắm giữ đến ngày đáo hạn</t>
  </si>
  <si>
    <t>III. Các khoản phải thu ngắn hạn</t>
  </si>
  <si>
    <t>1. Phải thu ngắn hạn của khách hàng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</si>
  <si>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</si>
  <si>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</si>
  <si>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</si>
  <si>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</si>
  <si>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</si>
  <si>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 (*)</t>
  </si>
  <si>
    <t>8. Tài sản thiếu chờ xử lý</t>
  </si>
  <si>
    <t>IV. Hàng tồn kho</t>
  </si>
  <si>
    <t>1. Hàng tồn kho</t>
  </si>
  <si>
    <t>2. Dự phòng giảm giá hàng tồn kho (*)</t>
  </si>
  <si>
    <t>V. Tài sản ngắn hạn khác</t>
  </si>
  <si>
    <t>1. Chi phí trả trước ngắn hạn</t>
  </si>
  <si>
    <t>2. Thuế GTGT được khấu trừ</t>
  </si>
  <si>
    <t>3. Thuế và các khoản khác phải thu của nhà nước</t>
  </si>
  <si>
    <t>4. Giao dịch mua bán lại trái phiếu chính phủ</t>
  </si>
  <si>
    <t>5. Tài sản ngắn hạn khác</t>
  </si>
  <si>
    <t>B. TÀI SẢN DÀI HẠN</t>
  </si>
  <si>
    <t>I. Các khoản phải thu dài hạn</t>
  </si>
  <si>
    <t>1. Phải thu dài hạn của khách hàng</t>
  </si>
  <si>
    <t>2. Trả trước cho người bán dài hạn</t>
  </si>
  <si>
    <t>3. Vốn kinh doanh ở các đơn vị trực thuộc</t>
  </si>
  <si>
    <t xml:space="preserve">4.  Phải thu nội bộ dài hạn </t>
  </si>
  <si>
    <t>5. Phải thu về cho vay dài hạn</t>
  </si>
  <si>
    <t>6. Phải thu dài hạn khác</t>
  </si>
  <si>
    <t>7. Dự phòng phải thu dài hạn khó đòi (*)</t>
  </si>
  <si>
    <t>II. Tài sản cố định</t>
  </si>
  <si>
    <t>1. Tài sản cố định hữu hình</t>
  </si>
  <si>
    <t xml:space="preserve">      - Nguyên giá</t>
  </si>
  <si>
    <t xml:space="preserve">      - Giá trị hao mòn lũy kế (*)</t>
  </si>
  <si>
    <t>2. Tài sản cố định thuê tài chính</t>
  </si>
  <si>
    <t>3. Tài sản cố định vô hình</t>
  </si>
  <si>
    <t>III. Bất động sản đầu tư</t>
  </si>
  <si>
    <t>IV. Tài sản dở dang dài hạn</t>
  </si>
  <si>
    <t>1. Chi phí sản xuất, kinh doanh dở dang dài hạn</t>
  </si>
  <si>
    <t>2. Chi phí xây dựng cơ bản dở dang</t>
  </si>
  <si>
    <t>V. Đầu tư tài chính dài hạn</t>
  </si>
  <si>
    <t>1. Đầu tư vào công ty con</t>
  </si>
  <si>
    <t>2. Đầu tư vào công ty liên kết. liên doanh</t>
  </si>
  <si>
    <t>3. Đầu tư góp vốn vào đơn vị khác</t>
  </si>
  <si>
    <t>4. Dự phòng đầu tư tài chính dài hạn (*)</t>
  </si>
  <si>
    <t>5. Đầu tư nắm giữ đến ngày đáo hạn</t>
  </si>
  <si>
    <t>6. Đầu tư dài hạn khác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</si>
  <si>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</si>
  <si>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</si>
  <si>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</si>
  <si>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</si>
  <si>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</si>
  <si>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VII. Lợi thế thương mại</t>
  </si>
  <si>
    <t>TỔNG CỘNG TÀI SẢN</t>
  </si>
  <si>
    <t>NGUỒN VỐN</t>
  </si>
  <si>
    <t>A. NỢ PHẢI TRẢ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</si>
  <si>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</si>
  <si>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</si>
  <si>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</si>
  <si>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</si>
  <si>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</si>
  <si>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</si>
  <si>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</si>
  <si>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</si>
  <si>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>8. Doanh thu chưa thực hiện ngắn hạn</t>
  </si>
  <si>
    <t>9. Phải trả ngắn hạn khác</t>
  </si>
  <si>
    <t>10. Vay và nợ thuê tài chính ngắn hạn</t>
  </si>
  <si>
    <t>11. Dự phòng phải trả ngắn hạn</t>
  </si>
  <si>
    <t>12. Quỹ khen thưởng, phúc lợi</t>
  </si>
  <si>
    <t>13. Quỹ bình ổn giá</t>
  </si>
  <si>
    <t>14. Giao dịch mua bán lại trái phiếu Chính phủ</t>
  </si>
  <si>
    <t xml:space="preserve">II. Nợ dài hạn 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</si>
  <si>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</si>
  <si>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</si>
  <si>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</si>
  <si>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</si>
  <si>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</si>
  <si>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>6. Doanh thu chưa thực hiện dài hạn</t>
  </si>
  <si>
    <t>7. Phải trả dài hạn khác</t>
  </si>
  <si>
    <t>8. Vay và nợ thuê tài chính dài hạn</t>
  </si>
  <si>
    <t>9. Trái phiếu chuyển đổi</t>
  </si>
  <si>
    <t>10. Cổ phiếu ưu đãi (Nợ)</t>
  </si>
  <si>
    <t>11. Thuế thu nhập hoãn lại phải trả</t>
  </si>
  <si>
    <t>12. Dự phòng phải trả dài hạn</t>
  </si>
  <si>
    <t>13. Quỹ phát triển khoa học và công nghệ</t>
  </si>
  <si>
    <t>14. Dự phòng trợ cấp mất việc làm</t>
  </si>
  <si>
    <t>B. VỐN CHỦ SỞ HỮU</t>
  </si>
  <si>
    <t>I. Vốn chủ sở hữu</t>
  </si>
  <si>
    <t>1. Vốn góp của chủ sở hữu</t>
  </si>
  <si>
    <t>- Cổ phiếu phổ thông có quyền biểu quyết</t>
  </si>
  <si>
    <t>- Cổ phiếu ưu đãi</t>
  </si>
  <si>
    <t>2. Thặng dư vốn cổ phần</t>
  </si>
  <si>
    <t>3. Quyền chọn chuyển đổi trái phiếu</t>
  </si>
  <si>
    <t>4. Vốn khác của chủ sở hữu</t>
  </si>
  <si>
    <t>5. Cổ phiếu quỹ (*)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</si>
  <si>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</si>
  <si>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</si>
  <si>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</si>
  <si>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</si>
  <si>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</si>
  <si>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</si>
  <si>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>- LNST chưa phân phối lũy kế đến cuối kỳ trước</t>
  </si>
  <si>
    <t>- LNST chưa phân phối kỳ này</t>
  </si>
  <si>
    <t>12. Nguồn vốn đầu tư XDCB</t>
  </si>
  <si>
    <t>13. Lợi ích cổ đông không kiểm soát</t>
  </si>
  <si>
    <t>14. Quỹ dự phòng tài chính</t>
  </si>
  <si>
    <t>II. Nguồn kinh phí và quỹ khác</t>
  </si>
  <si>
    <t>1. Nguồn kinh phí</t>
  </si>
  <si>
    <t>2. Nguồn kinh phí đã hình thành TSCĐ</t>
  </si>
  <si>
    <t>C. LỢI ÍCH CỔ ĐÔNG THIỂU SỐ</t>
  </si>
  <si>
    <t>TỔNG CỘNG NGUỒN VỐN</t>
  </si>
  <si>
    <t>I. Lưu chuyển tiền từ hoạt động kinh doanh</t>
  </si>
  <si>
    <t>Lưu chuyển tiền thuần từ hoạt động kinh doanh</t>
  </si>
  <si>
    <t>II. Lưu chuyển tiền từ hoạt động đầu tư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</si>
  <si>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</si>
  <si>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</si>
  <si>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</si>
  <si>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</si>
  <si>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</si>
  <si>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</si>
  <si>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</si>
  <si>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8. Tăng giảm tiền gửi ngân hàng có kỳ hạn</t>
  </si>
  <si>
    <t>9. Mua lại khoản góp vốn của cổ đông thiểu số trong công ty con</t>
  </si>
  <si>
    <t>10. Tiền thu khác từ hoạt động đầu tư</t>
  </si>
  <si>
    <t>11. Tiền chi khác cho hoạt động đầu tư</t>
  </si>
  <si>
    <t>Lưu chuyển tiền thuần từ hoạt động đầu tư</t>
  </si>
  <si>
    <t>III. Lưu chuyển tiền từ hoạt động tài chính</t>
  </si>
  <si>
    <t>1. Tiền thu từ phát hành cổ phiếu, nhận vốn góp của chủ sở hữu</t>
  </si>
  <si>
    <t>2. Tiền chi trả vốn góp cho các chủ sở hữu, mua lại cổ phiếu của doanh nghiệp đã phát hành</t>
  </si>
  <si>
    <t>3. Tiền thu từ đi vay</t>
  </si>
  <si>
    <t>4. Tiền trả nợ gốc vay</t>
  </si>
  <si>
    <t>5. Tiền trả nợ gốc thuê tài chính</t>
  </si>
  <si>
    <t xml:space="preserve">6. Cổ tức, lợi nhuận đã trả cho chủ sở hữu </t>
  </si>
  <si>
    <t>7. Tiền thu khác từ hoạt động tài chính</t>
  </si>
  <si>
    <t>8. Tiền chi khác cho hoạt động tài chính</t>
  </si>
  <si>
    <t>Lưu chuyển tiền thuần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</si>
  <si>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</si>
  <si>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</si>
  <si>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</si>
  <si>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</si>
  <si>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Nợ/(Nợ + Vốn hóa)</t>
  </si>
  <si>
    <t>II/ Dự phóng giá vốn</t>
  </si>
  <si>
    <t>% tăng trưởng</t>
  </si>
  <si>
    <t>Trả nợ</t>
  </si>
  <si>
    <t>Vay thêm</t>
  </si>
  <si>
    <t>Doanh thu bán hàng thành phẩm</t>
  </si>
  <si>
    <t>Doanh thu bán hàng hóa</t>
  </si>
  <si>
    <t>Tỉ lệ phương pháp FCFF</t>
  </si>
  <si>
    <t>Bằng năm ngoái (2019)</t>
  </si>
  <si>
    <t>Bằng năm 2018</t>
  </si>
  <si>
    <t>Giá trị lớn nhất của nguyên giá/khấu hao và 5</t>
  </si>
  <si>
    <t>Trung bình 2 kì trước</t>
  </si>
  <si>
    <t>Chia cho LNST CPP</t>
  </si>
  <si>
    <t>Không có thay đổi so với năm trước</t>
  </si>
  <si>
    <t>Không thay đổi nhiều so với kỳ trước</t>
  </si>
  <si>
    <t>Theo tốc độ giảm doanh thu mảng này trong BCTC quý 3/2020</t>
  </si>
  <si>
    <t>Căn cứ vào BCTC quý 3/2020</t>
  </si>
  <si>
    <t>Căn cứ vào BCTC quý 3/2021</t>
  </si>
  <si>
    <t>Theo tốc độ tăng doanh thu mảng này trong BCTC quý 3/2021</t>
  </si>
  <si>
    <t>Tổng doanh thu của 2 mảng</t>
  </si>
  <si>
    <t>Theo BCTC Quý 2 năm 2020, DMC có vay ngắn hạn nên em giả định tỷ lệ nợ vay giống năm 2018 (Vay và trả nợ trong kỳ)</t>
  </si>
  <si>
    <t>Công ty không vay nợ</t>
  </si>
  <si>
    <t>Báo cáo ngành Dược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</si>
</sst>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\ _₫_-;\-* #,##0.00\ _₫_-;_-* &quot;-&quot;??\ _₫_-;_-@_-"/>
    <numFmt numFmtId="166" formatCode="_-* #,##0\ _₫_-;\-* #,##0\ _₫_-;_-* &quot;-&quot;??\ _₫_-;_-@_-"/>
    <numFmt numFmtId="167" formatCode="0.0%"/>
    <numFmt numFmtId="168" formatCode="_(* #,##0_);_(* \(#,##0\);_(* &quot;-&quot;??_);_(@_)"/>
    <numFmt numFmtId="169" formatCode="_-* #,##0.0\ _₫_-;\-* #,##0.0\ _₫_-;_-* &quot;-&quot;??\ _₫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sz val="11"/>
      <color rgb="FF00B050"/>
      <name val="Calibri"/>
      <family val="2"/>
      <scheme val="minor"/>
    </font>
    <font>
      <sz val="11"/>
      <color theme="1"/>
      <name val="Times New Roman"/>
      <family val="2"/>
    </font>
    <font>
      <i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imes New Roman"/>
      <family val="2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7">
    <xf numFmtId="0" fontId="0" fillId="0" borderId="0" xfId="0"/>
    <xf numFmtId="3" fontId="0" fillId="0" borderId="0" xfId="0" applyNumberFormat="1"/>
    <xf numFmtId="166" fontId="0" fillId="0" borderId="0" xfId="1" applyNumberFormat="1" applyFont="1"/>
    <xf numFmtId="1" fontId="4" fillId="0" borderId="0" xfId="1" applyNumberFormat="1" applyFont="1"/>
    <xf numFmtId="1" fontId="5" fillId="2" borderId="0" xfId="1" applyNumberFormat="1" applyFont="1" applyFill="1"/>
    <xf numFmtId="1" fontId="0" fillId="0" borderId="0" xfId="1" applyNumberFormat="1" applyFont="1"/>
    <xf numFmtId="0" fontId="0" fillId="0" borderId="1" xfId="0" applyBorder="1"/>
    <xf numFmtId="166" fontId="0" fillId="0" borderId="2" xfId="1" applyNumberFormat="1" applyFont="1" applyBorder="1"/>
    <xf numFmtId="166" fontId="5" fillId="2" borderId="2" xfId="1" applyNumberFormat="1" applyFont="1" applyFill="1" applyBorder="1"/>
    <xf numFmtId="166" fontId="0" fillId="0" borderId="3" xfId="1" applyNumberFormat="1" applyFont="1" applyBorder="1"/>
    <xf numFmtId="166" fontId="0" fillId="0" borderId="4" xfId="1" applyNumberFormat="1" applyFont="1" applyBorder="1"/>
    <xf numFmtId="166" fontId="0" fillId="0" borderId="0" xfId="1" applyNumberFormat="1" applyFont="1" applyBorder="1"/>
    <xf numFmtId="166" fontId="5" fillId="2" borderId="0" xfId="1" applyNumberFormat="1" applyFont="1" applyFill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4" xfId="0" applyBorder="1"/>
    <xf numFmtId="166" fontId="0" fillId="0" borderId="5" xfId="1" applyNumberFormat="1" applyFont="1" applyBorder="1"/>
    <xf numFmtId="9" fontId="0" fillId="0" borderId="0" xfId="2" applyFont="1" applyBorder="1"/>
    <xf numFmtId="9" fontId="5" fillId="2" borderId="0" xfId="2" applyFont="1" applyFill="1" applyBorder="1"/>
    <xf numFmtId="9" fontId="0" fillId="3" borderId="0" xfId="2" applyFont="1" applyFill="1" applyBorder="1"/>
    <xf numFmtId="9" fontId="0" fillId="3" borderId="5" xfId="2" applyFont="1" applyFill="1" applyBorder="1"/>
    <xf numFmtId="9" fontId="0" fillId="0" borderId="0" xfId="0" applyNumberFormat="1"/>
    <xf numFmtId="9" fontId="0" fillId="3" borderId="0" xfId="2" applyNumberFormat="1" applyFont="1" applyFill="1" applyBorder="1"/>
    <xf numFmtId="9" fontId="0" fillId="3" borderId="5" xfId="2" applyNumberFormat="1" applyFont="1" applyFill="1" applyBorder="1"/>
    <xf numFmtId="167" fontId="6" fillId="0" borderId="0" xfId="2" applyNumberFormat="1" applyFont="1" applyBorder="1"/>
    <xf numFmtId="167" fontId="6" fillId="0" borderId="5" xfId="2" applyNumberFormat="1" applyFont="1" applyBorder="1"/>
    <xf numFmtId="0" fontId="0" fillId="0" borderId="6" xfId="0" applyBorder="1"/>
    <xf numFmtId="166" fontId="0" fillId="0" borderId="7" xfId="1" applyNumberFormat="1" applyFont="1" applyBorder="1"/>
    <xf numFmtId="166" fontId="5" fillId="2" borderId="7" xfId="1" applyNumberFormat="1" applyFont="1" applyFill="1" applyBorder="1"/>
    <xf numFmtId="166" fontId="0" fillId="0" borderId="8" xfId="1" applyNumberFormat="1" applyFont="1" applyBorder="1"/>
    <xf numFmtId="166" fontId="5" fillId="2" borderId="0" xfId="1" applyNumberFormat="1" applyFont="1" applyFill="1"/>
    <xf numFmtId="166" fontId="4" fillId="0" borderId="2" xfId="1" applyNumberFormat="1" applyFont="1" applyBorder="1"/>
    <xf numFmtId="166" fontId="7" fillId="0" borderId="2" xfId="1" applyNumberFormat="1" applyFont="1" applyBorder="1"/>
    <xf numFmtId="166" fontId="7" fillId="0" borderId="3" xfId="1" applyNumberFormat="1" applyFont="1" applyBorder="1"/>
    <xf numFmtId="0" fontId="0" fillId="0" borderId="0" xfId="0" applyBorder="1"/>
    <xf numFmtId="0" fontId="0" fillId="0" borderId="5" xfId="0" applyBorder="1"/>
    <xf numFmtId="166" fontId="0" fillId="0" borderId="0" xfId="0" applyNumberFormat="1" applyBorder="1"/>
    <xf numFmtId="166" fontId="0" fillId="0" borderId="0" xfId="0" applyNumberFormat="1"/>
    <xf numFmtId="166" fontId="2" fillId="4" borderId="0" xfId="1" applyNumberFormat="1" applyFont="1" applyFill="1"/>
    <xf numFmtId="3" fontId="0" fillId="0" borderId="0" xfId="0" applyNumberFormat="1" applyBorder="1"/>
    <xf numFmtId="166" fontId="0" fillId="0" borderId="5" xfId="0" applyNumberFormat="1" applyBorder="1"/>
    <xf numFmtId="168" fontId="0" fillId="0" borderId="0" xfId="1" applyNumberFormat="1" applyFont="1" applyBorder="1"/>
    <xf numFmtId="0" fontId="0" fillId="0" borderId="0" xfId="0" applyAlignment="1">
      <alignment horizontal="center"/>
    </xf>
    <xf numFmtId="0" fontId="2" fillId="0" borderId="4" xfId="0" applyFont="1" applyBorder="1"/>
    <xf numFmtId="0" fontId="2" fillId="0" borderId="0" xfId="0" applyFont="1" applyBorder="1"/>
    <xf numFmtId="166" fontId="2" fillId="0" borderId="0" xfId="1" applyNumberFormat="1" applyFont="1" applyBorder="1"/>
    <xf numFmtId="166" fontId="8" fillId="2" borderId="0" xfId="1" applyNumberFormat="1" applyFont="1" applyFill="1" applyBorder="1"/>
    <xf numFmtId="166" fontId="2" fillId="0" borderId="0" xfId="0" applyNumberFormat="1" applyFont="1" applyBorder="1"/>
    <xf numFmtId="166" fontId="2" fillId="0" borderId="5" xfId="0" applyNumberFormat="1" applyFont="1" applyBorder="1"/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4" fillId="0" borderId="0" xfId="0" applyFont="1"/>
    <xf numFmtId="0" fontId="7" fillId="5" borderId="0" xfId="0" applyFont="1" applyFill="1"/>
    <xf numFmtId="166" fontId="7" fillId="5" borderId="0" xfId="1" applyNumberFormat="1" applyFont="1" applyFill="1"/>
    <xf numFmtId="9" fontId="0" fillId="0" borderId="0" xfId="2" applyFont="1"/>
    <xf numFmtId="9" fontId="0" fillId="3" borderId="0" xfId="2" applyFont="1" applyFill="1"/>
    <xf numFmtId="3" fontId="9" fillId="0" borderId="0" xfId="0" applyNumberFormat="1" applyFont="1"/>
    <xf numFmtId="168" fontId="9" fillId="0" borderId="0" xfId="0" applyNumberFormat="1" applyFont="1"/>
    <xf numFmtId="167" fontId="0" fillId="0" borderId="0" xfId="2" applyNumberFormat="1" applyFont="1"/>
    <xf numFmtId="167" fontId="0" fillId="3" borderId="0" xfId="0" applyNumberFormat="1" applyFill="1"/>
    <xf numFmtId="10" fontId="0" fillId="0" borderId="0" xfId="2" applyNumberFormat="1" applyFont="1"/>
    <xf numFmtId="10" fontId="0" fillId="3" borderId="0" xfId="0" applyNumberFormat="1" applyFill="1"/>
    <xf numFmtId="0" fontId="0" fillId="0" borderId="0" xfId="0" quotePrefix="1"/>
    <xf numFmtId="10" fontId="0" fillId="0" borderId="0" xfId="0" applyNumberFormat="1" applyFill="1"/>
    <xf numFmtId="166" fontId="0" fillId="0" borderId="12" xfId="1" applyNumberFormat="1" applyFont="1" applyBorder="1"/>
    <xf numFmtId="167" fontId="0" fillId="5" borderId="10" xfId="0" applyNumberFormat="1" applyFill="1" applyBorder="1"/>
    <xf numFmtId="167" fontId="0" fillId="6" borderId="10" xfId="0" applyNumberFormat="1" applyFill="1" applyBorder="1"/>
    <xf numFmtId="167" fontId="0" fillId="7" borderId="10" xfId="0" applyNumberFormat="1" applyFill="1" applyBorder="1"/>
    <xf numFmtId="167" fontId="0" fillId="8" borderId="10" xfId="0" applyNumberFormat="1" applyFill="1" applyBorder="1"/>
    <xf numFmtId="167" fontId="0" fillId="9" borderId="10" xfId="0" applyNumberFormat="1" applyFill="1" applyBorder="1"/>
    <xf numFmtId="167" fontId="0" fillId="10" borderId="11" xfId="0" applyNumberFormat="1" applyFill="1" applyBorder="1"/>
    <xf numFmtId="0" fontId="0" fillId="0" borderId="11" xfId="0" applyBorder="1"/>
    <xf numFmtId="9" fontId="0" fillId="0" borderId="13" xfId="0" applyNumberFormat="1" applyBorder="1"/>
    <xf numFmtId="166" fontId="0" fillId="5" borderId="1" xfId="1" applyNumberFormat="1" applyFont="1" applyFill="1" applyBorder="1"/>
    <xf numFmtId="166" fontId="0" fillId="6" borderId="2" xfId="1" applyNumberFormat="1" applyFont="1" applyFill="1" applyBorder="1"/>
    <xf numFmtId="166" fontId="0" fillId="7" borderId="2" xfId="1" applyNumberFormat="1" applyFont="1" applyFill="1" applyBorder="1"/>
    <xf numFmtId="166" fontId="0" fillId="8" borderId="2" xfId="1" applyNumberFormat="1" applyFont="1" applyFill="1" applyBorder="1"/>
    <xf numFmtId="166" fontId="0" fillId="9" borderId="2" xfId="1" applyNumberFormat="1" applyFont="1" applyFill="1" applyBorder="1"/>
    <xf numFmtId="166" fontId="0" fillId="10" borderId="3" xfId="1" applyNumberFormat="1" applyFont="1" applyFill="1" applyBorder="1"/>
    <xf numFmtId="166" fontId="0" fillId="5" borderId="4" xfId="1" applyNumberFormat="1" applyFont="1" applyFill="1" applyBorder="1"/>
    <xf numFmtId="166" fontId="0" fillId="6" borderId="0" xfId="1" applyNumberFormat="1" applyFont="1" applyFill="1" applyBorder="1"/>
    <xf numFmtId="166" fontId="0" fillId="7" borderId="0" xfId="1" applyNumberFormat="1" applyFont="1" applyFill="1" applyBorder="1"/>
    <xf numFmtId="166" fontId="0" fillId="8" borderId="0" xfId="1" applyNumberFormat="1" applyFont="1" applyFill="1" applyBorder="1"/>
    <xf numFmtId="166" fontId="0" fillId="9" borderId="0" xfId="1" applyNumberFormat="1" applyFont="1" applyFill="1" applyBorder="1"/>
    <xf numFmtId="166" fontId="0" fillId="10" borderId="5" xfId="1" applyNumberFormat="1" applyFont="1" applyFill="1" applyBorder="1"/>
    <xf numFmtId="9" fontId="0" fillId="0" borderId="14" xfId="0" applyNumberFormat="1" applyBorder="1"/>
    <xf numFmtId="166" fontId="0" fillId="5" borderId="6" xfId="1" applyNumberFormat="1" applyFont="1" applyFill="1" applyBorder="1"/>
    <xf numFmtId="166" fontId="0" fillId="6" borderId="7" xfId="1" applyNumberFormat="1" applyFont="1" applyFill="1" applyBorder="1"/>
    <xf numFmtId="166" fontId="0" fillId="7" borderId="7" xfId="1" applyNumberFormat="1" applyFont="1" applyFill="1" applyBorder="1"/>
    <xf numFmtId="166" fontId="0" fillId="8" borderId="7" xfId="1" applyNumberFormat="1" applyFont="1" applyFill="1" applyBorder="1"/>
    <xf numFmtId="166" fontId="0" fillId="9" borderId="7" xfId="1" applyNumberFormat="1" applyFont="1" applyFill="1" applyBorder="1"/>
    <xf numFmtId="166" fontId="0" fillId="10" borderId="8" xfId="1" applyNumberFormat="1" applyFont="1" applyFill="1" applyBorder="1"/>
    <xf numFmtId="0" fontId="0" fillId="0" borderId="14" xfId="0" applyBorder="1"/>
    <xf numFmtId="166" fontId="2" fillId="0" borderId="0" xfId="1" applyNumberFormat="1" applyFont="1"/>
    <xf numFmtId="166" fontId="4" fillId="0" borderId="0" xfId="1" applyNumberFormat="1" applyFont="1"/>
    <xf numFmtId="169" fontId="0" fillId="0" borderId="0" xfId="1" applyNumberFormat="1" applyFont="1"/>
    <xf numFmtId="166" fontId="0" fillId="3" borderId="0" xfId="1" applyNumberFormat="1" applyFont="1" applyFill="1"/>
    <xf numFmtId="165" fontId="0" fillId="0" borderId="0" xfId="1" applyFont="1"/>
    <xf numFmtId="164" fontId="0" fillId="0" borderId="0" xfId="1" applyNumberFormat="1" applyFont="1"/>
    <xf numFmtId="165" fontId="0" fillId="3" borderId="0" xfId="1" applyFont="1" applyFill="1"/>
    <xf numFmtId="169" fontId="4" fillId="0" borderId="0" xfId="1" applyNumberFormat="1" applyFont="1"/>
    <xf numFmtId="9" fontId="4" fillId="0" borderId="0" xfId="2" applyFont="1"/>
    <xf numFmtId="166" fontId="7" fillId="0" borderId="0" xfId="1" applyNumberFormat="1" applyFont="1"/>
    <xf numFmtId="164" fontId="7" fillId="0" borderId="0" xfId="1" applyNumberFormat="1" applyFont="1"/>
    <xf numFmtId="167" fontId="0" fillId="3" borderId="0" xfId="2" applyNumberFormat="1" applyFont="1" applyFill="1"/>
    <xf numFmtId="10" fontId="4" fillId="0" borderId="0" xfId="2" applyNumberFormat="1" applyFont="1"/>
    <xf numFmtId="10" fontId="0" fillId="3" borderId="0" xfId="2" applyNumberFormat="1" applyFont="1" applyFill="1"/>
    <xf numFmtId="3" fontId="4" fillId="0" borderId="0" xfId="0" applyNumberFormat="1" applyFont="1"/>
    <xf numFmtId="164" fontId="0" fillId="0" borderId="0" xfId="0" applyNumberFormat="1"/>
    <xf numFmtId="166" fontId="0" fillId="3" borderId="0" xfId="0" applyNumberFormat="1" applyFill="1"/>
    <xf numFmtId="3" fontId="0" fillId="3" borderId="0" xfId="0" applyNumberFormat="1" applyFill="1"/>
    <xf numFmtId="9" fontId="0" fillId="3" borderId="0" xfId="0" applyNumberFormat="1" applyFill="1"/>
    <xf numFmtId="168" fontId="0" fillId="0" borderId="0" xfId="0" applyNumberFormat="1"/>
    <xf numFmtId="164" fontId="0" fillId="11" borderId="9" xfId="0" applyNumberFormat="1" applyFill="1" applyBorder="1"/>
    <xf numFmtId="9" fontId="0" fillId="11" borderId="11" xfId="0" applyNumberFormat="1" applyFill="1" applyBorder="1"/>
    <xf numFmtId="0" fontId="0" fillId="12" borderId="0" xfId="0" applyFill="1"/>
    <xf numFmtId="168" fontId="0" fillId="12" borderId="0" xfId="0" applyNumberFormat="1" applyFill="1"/>
    <xf numFmtId="9" fontId="0" fillId="0" borderId="5" xfId="0" applyNumberFormat="1" applyBorder="1"/>
    <xf numFmtId="167" fontId="0" fillId="12" borderId="0" xfId="2" applyNumberFormat="1" applyFont="1" applyFill="1"/>
    <xf numFmtId="0" fontId="0" fillId="0" borderId="2" xfId="0" applyBorder="1"/>
    <xf numFmtId="166" fontId="4" fillId="0" borderId="1" xfId="1" applyNumberFormat="1" applyFont="1" applyBorder="1"/>
    <xf numFmtId="165" fontId="0" fillId="0" borderId="0" xfId="1" applyFont="1" applyFill="1"/>
    <xf numFmtId="165" fontId="7" fillId="3" borderId="4" xfId="1" applyFont="1" applyFill="1" applyBorder="1"/>
    <xf numFmtId="165" fontId="7" fillId="3" borderId="0" xfId="1" applyFont="1" applyFill="1" applyBorder="1"/>
    <xf numFmtId="165" fontId="7" fillId="3" borderId="5" xfId="1" applyFont="1" applyFill="1" applyBorder="1"/>
    <xf numFmtId="9" fontId="0" fillId="0" borderId="4" xfId="0" applyNumberFormat="1" applyBorder="1"/>
    <xf numFmtId="9" fontId="0" fillId="0" borderId="0" xfId="0" applyNumberFormat="1" applyBorder="1"/>
    <xf numFmtId="165" fontId="0" fillId="0" borderId="4" xfId="1" applyFont="1" applyBorder="1"/>
    <xf numFmtId="165" fontId="0" fillId="0" borderId="0" xfId="1" applyFont="1" applyBorder="1"/>
    <xf numFmtId="165" fontId="0" fillId="0" borderId="5" xfId="1" applyFont="1" applyBorder="1"/>
    <xf numFmtId="167" fontId="0" fillId="0" borderId="0" xfId="2" applyNumberFormat="1" applyFont="1" applyBorder="1"/>
    <xf numFmtId="167" fontId="0" fillId="0" borderId="5" xfId="2" applyNumberFormat="1" applyFont="1" applyBorder="1"/>
    <xf numFmtId="164" fontId="0" fillId="0" borderId="0" xfId="0" applyNumberFormat="1" applyBorder="1"/>
    <xf numFmtId="166" fontId="0" fillId="0" borderId="6" xfId="1" applyNumberFormat="1" applyFont="1" applyBorder="1"/>
    <xf numFmtId="0" fontId="0" fillId="0" borderId="13" xfId="0" applyBorder="1"/>
    <xf numFmtId="0" fontId="0" fillId="0" borderId="0" xfId="0" quotePrefix="1" applyBorder="1"/>
    <xf numFmtId="37" fontId="0" fillId="0" borderId="0" xfId="0" applyNumberFormat="1"/>
    <xf numFmtId="37" fontId="0" fillId="0" borderId="0" xfId="0" quotePrefix="1" applyNumberFormat="1" applyBorder="1"/>
    <xf numFmtId="37" fontId="0" fillId="0" borderId="0" xfId="2" applyNumberFormat="1" applyFont="1" applyBorder="1"/>
    <xf numFmtId="0" fontId="2" fillId="0" borderId="0" xfId="0" applyFont="1" applyAlignment="1">
      <alignment wrapText="1"/>
    </xf>
    <xf numFmtId="9" fontId="13" fillId="3" borderId="0" xfId="0" applyNumberFormat="1" applyFont="1" applyFill="1"/>
    <xf numFmtId="37" fontId="0" fillId="0" borderId="0" xfId="1" applyNumberFormat="1" applyFont="1"/>
    <xf numFmtId="37" fontId="4" fillId="0" borderId="0" xfId="1" applyNumberFormat="1" applyFont="1"/>
    <xf numFmtId="9" fontId="7" fillId="0" borderId="0" xfId="2" applyFont="1"/>
    <xf numFmtId="168" fontId="7" fillId="0" borderId="0" xfId="1" applyNumberFormat="1" applyFont="1"/>
    <xf numFmtId="37" fontId="7" fillId="0" borderId="0" xfId="1" applyNumberFormat="1" applyFont="1"/>
    <xf numFmtId="37" fontId="0" fillId="0" borderId="0" xfId="0" applyNumberFormat="1" applyBorder="1"/>
    <xf numFmtId="37" fontId="5" fillId="2" borderId="0" xfId="1" applyNumberFormat="1" applyFont="1" applyFill="1" applyBorder="1"/>
    <xf numFmtId="37" fontId="2" fillId="0" borderId="4" xfId="0" applyNumberFormat="1" applyFont="1" applyBorder="1"/>
    <xf numFmtId="37" fontId="2" fillId="0" borderId="0" xfId="0" applyNumberFormat="1" applyFont="1" applyBorder="1"/>
    <xf numFmtId="37" fontId="8" fillId="2" borderId="0" xfId="1" applyNumberFormat="1" applyFont="1" applyFill="1" applyBorder="1"/>
    <xf numFmtId="37" fontId="2" fillId="0" borderId="5" xfId="0" applyNumberFormat="1" applyFont="1" applyBorder="1"/>
    <xf numFmtId="165" fontId="0" fillId="3" borderId="0" xfId="1" applyNumberFormat="1" applyFont="1" applyFill="1"/>
    <xf numFmtId="169" fontId="0" fillId="3" borderId="0" xfId="1" applyNumberFormat="1" applyFont="1" applyFill="1"/>
    <xf numFmtId="10" fontId="0" fillId="0" borderId="4" xfId="2" applyNumberFormat="1" applyFont="1" applyBorder="1"/>
    <xf numFmtId="10" fontId="0" fillId="0" borderId="4" xfId="0" applyNumberFormat="1" applyBorder="1"/>
    <xf numFmtId="10" fontId="0" fillId="0" borderId="0" xfId="0" applyNumberFormat="1" applyBorder="1"/>
    <xf numFmtId="10" fontId="0" fillId="0" borderId="5" xfId="0" applyNumberFormat="1" applyBorder="1"/>
    <xf numFmtId="0" fontId="15" fillId="5" borderId="0" xfId="0" applyFont="1" applyFill="1"/>
    <xf numFmtId="0" fontId="2" fillId="0" borderId="0" xfId="0" applyFont="1" applyBorder="1" applyAlignment="1">
      <alignment wrapText="1"/>
    </xf>
    <xf numFmtId="0" fontId="0" fillId="5" borderId="0" xfId="0" applyFill="1" applyBorder="1"/>
    <xf numFmtId="165" fontId="0" fillId="13" borderId="0" xfId="1" applyNumberFormat="1" applyFont="1" applyFill="1"/>
    <xf numFmtId="37" fontId="4" fillId="0" borderId="0" xfId="0" applyNumberFormat="1" applyFont="1"/>
    <xf numFmtId="0" fontId="0" fillId="0" borderId="5" xfId="0" applyBorder="1" applyAlignment="1">
      <alignment horizontal="center" vertical="center"/>
    </xf>
    <xf numFmtId="169" fontId="0" fillId="0" borderId="13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166" fontId="0" fillId="0" borderId="4" xfId="1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69" fontId="0" fillId="0" borderId="13" xfId="1" applyNumberFormat="1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4" xfId="0" applyFont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9" fontId="0" fillId="0" borderId="13" xfId="0" applyNumberFormat="1" applyBorder="1" applyAlignment="1">
      <alignment vertical="center"/>
    </xf>
    <xf numFmtId="0" fontId="0" fillId="0" borderId="13" xfId="0" applyFont="1" applyBorder="1" applyAlignment="1">
      <alignment vertical="center"/>
    </xf>
    <xf numFmtId="166" fontId="0" fillId="0" borderId="0" xfId="1" applyNumberFormat="1" applyFont="1" applyBorder="1" applyAlignment="1">
      <alignment vertical="center"/>
    </xf>
    <xf numFmtId="10" fontId="0" fillId="0" borderId="13" xfId="0" applyNumberFormat="1" applyBorder="1" applyAlignment="1">
      <alignment vertical="center"/>
    </xf>
    <xf numFmtId="166" fontId="0" fillId="0" borderId="0" xfId="1" applyNumberFormat="1" applyFont="1" applyAlignment="1">
      <alignment vertical="center"/>
    </xf>
    <xf numFmtId="9" fontId="0" fillId="0" borderId="13" xfId="2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67" fontId="0" fillId="0" borderId="13" xfId="0" applyNumberForma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6" fontId="0" fillId="0" borderId="4" xfId="1" applyNumberFormat="1" applyFont="1" applyBorder="1" applyAlignment="1">
      <alignment horizontal="left" vertical="center"/>
    </xf>
    <xf numFmtId="166" fontId="0" fillId="0" borderId="5" xfId="1" applyNumberFormat="1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'BCTC du phong'!$B$5</c:f>
              <c:strCache>
                <c:ptCount val="1"/>
                <c:pt idx="0">
                  <c:v>3. Doanh thu thuần về bán hàng và cung cấp dịch vụ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  <a:tailEnd type="triangle"/>
              </a:ln>
              <a:effectLst/>
            </c:spPr>
            <c:trendlineType val="linear"/>
            <c:forward val="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phong'!$C$5:$L$5</c:f>
              <c:numCache>
                <c:formatCode>_-* #,##0\ _₫_-;\-* #,##0\ _₫_-;_-* "-"??\ _₫_-;_-@_-</c:formatCode>
                <c:ptCount val="10"/>
                <c:pt idx="0">
                  <c:v>1234030823000</c:v>
                </c:pt>
                <c:pt idx="1">
                  <c:v>1289294177000</c:v>
                </c:pt>
                <c:pt idx="2">
                  <c:v>1339650588000</c:v>
                </c:pt>
                <c:pt idx="3">
                  <c:v>1385088491000</c:v>
                </c:pt>
                <c:pt idx="4">
                  <c:v>1468390310000</c:v>
                </c:pt>
                <c:pt idx="5">
                  <c:v>1431668465000</c:v>
                </c:pt>
                <c:pt idx="6">
                  <c:v>1563811851000</c:v>
                </c:pt>
                <c:pt idx="7">
                  <c:v>1792864991400</c:v>
                </c:pt>
                <c:pt idx="8">
                  <c:v>2153186547959.9998</c:v>
                </c:pt>
                <c:pt idx="9">
                  <c:v>2693319171143.9995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E-4734-AB94-F053E002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292368"/>
        <c:axId val="464293200"/>
      </c:barChart>
      <c:catAx>
        <c:axId val="4642923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293200"/>
        <c:crosses val="autoZero"/>
        <c:auto val="1"/>
        <c:lblAlgn val="ctr"/>
        <c:lblOffset val="100"/>
        <c:noMultiLvlLbl val="0"/>
      </c:catAx>
      <c:valAx>
        <c:axId val="4642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₫_-;\-* #,##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2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'BCTC du phong'!$B$22</c:f>
              <c:strCache>
                <c:ptCount val="1"/>
                <c:pt idx="0">
                  <c:v>18. Lợi nhuận sau thuế thu nhập doanh nghiệp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  <a:tailEnd type="triangle"/>
              </a:ln>
              <a:effectLst/>
            </c:spPr>
            <c:trendlineType val="linear"/>
            <c:forward val="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phong'!$C$22:$L$22</c:f>
              <c:numCache>
                <c:formatCode>_-* #,##0\ _₫_-;\-* #,##0\ _₫_-;_-* "-"??\ _₫_-;_-@_-</c:formatCode>
                <c:ptCount val="10"/>
                <c:pt idx="0">
                  <c:v>141559279000</c:v>
                </c:pt>
                <c:pt idx="1">
                  <c:v>168641475000</c:v>
                </c:pt>
                <c:pt idx="2">
                  <c:v>207661963000</c:v>
                </c:pt>
                <c:pt idx="3">
                  <c:v>228771647000</c:v>
                </c:pt>
                <c:pt idx="4">
                  <c:v>232634592000</c:v>
                </c:pt>
                <c:pt idx="5">
                  <c:v>219401907782.64047</c:v>
                </c:pt>
                <c:pt idx="6">
                  <c:v>251587504706.5885</c:v>
                </c:pt>
                <c:pt idx="7">
                  <c:v>281426711710.51685</c:v>
                </c:pt>
                <c:pt idx="8">
                  <c:v>342445937725.8938</c:v>
                </c:pt>
                <c:pt idx="9">
                  <c:v>412440803847.92621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5-41C0-B30B-7339CF9B9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497488"/>
        <c:axId val="2129490832"/>
      </c:barChart>
      <c:catAx>
        <c:axId val="21294974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490832"/>
        <c:crosses val="autoZero"/>
        <c:auto val="1"/>
        <c:lblAlgn val="ctr"/>
        <c:lblOffset val="100"/>
        <c:noMultiLvlLbl val="0"/>
      </c:catAx>
      <c:valAx>
        <c:axId val="21294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₫_-;\-* #,##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49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Cấu</a:t>
            </a:r>
            <a:r>
              <a:rPr lang="en-US" baseline="0"/>
              <a:t> trúc tài sản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'BCTC du phong'!$B$34</c:f>
              <c:strCache>
                <c:ptCount val="1"/>
                <c:pt idx="0">
                  <c:v>I. Tiền và các khoản tương đương tiền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phong'!$C$34:$L$34</c:f>
              <c:numCache>
                <c:formatCode>_-* #,##0\ _₫_-;\-* #,##0\ _₫_-;_-* "-"??\ _₫_-;_-@_-</c:formatCode>
                <c:ptCount val="10"/>
                <c:pt idx="0">
                  <c:v>135164016000</c:v>
                </c:pt>
                <c:pt idx="1">
                  <c:v>92319494000</c:v>
                </c:pt>
                <c:pt idx="2">
                  <c:v>158731379000</c:v>
                </c:pt>
                <c:pt idx="3">
                  <c:v>79508403000</c:v>
                </c:pt>
                <c:pt idx="4">
                  <c:v>98367152000</c:v>
                </c:pt>
                <c:pt idx="5">
                  <c:v>397590987654.44354</c:v>
                </c:pt>
                <c:pt idx="6">
                  <c:v>350342488824.47223</c:v>
                </c:pt>
                <c:pt idx="7">
                  <c:v>592953742768.48938</c:v>
                </c:pt>
                <c:pt idx="8">
                  <c:v>483812887724.42694</c:v>
                </c:pt>
                <c:pt idx="9">
                  <c:v>640892260090.64063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6-47D1-AA96-62905CEC4471}"/>
            </c:ext>
          </c:extLst>
        </c:ser>
        <c:ser>
          <c:idx val="1"/>
          <c:order val="1"/>
          <c:tx>
            <c:strRef>
              <c:f>'BCTC du phong'!$B$37</c:f>
              <c:strCache>
                <c:ptCount val="1"/>
                <c:pt idx="0">
                  <c:v>II.  Đầu tư tài chính ngắn hạn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phong'!$C$37:$L$37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115000000000</c:v>
                </c:pt>
                <c:pt idx="2">
                  <c:v>270000000000</c:v>
                </c:pt>
                <c:pt idx="3">
                  <c:v>290000000000</c:v>
                </c:pt>
                <c:pt idx="4">
                  <c:v>260000000000</c:v>
                </c:pt>
                <c:pt idx="5">
                  <c:v>260000000000</c:v>
                </c:pt>
                <c:pt idx="6">
                  <c:v>260000000000</c:v>
                </c:pt>
                <c:pt idx="7">
                  <c:v>260000000000</c:v>
                </c:pt>
                <c:pt idx="8">
                  <c:v>260000000000</c:v>
                </c:pt>
                <c:pt idx="9">
                  <c:v>260000000000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6-47D1-AA96-62905CEC4471}"/>
            </c:ext>
          </c:extLst>
        </c:ser>
        <c:ser>
          <c:idx val="2"/>
          <c:order val="2"/>
          <c:tx>
            <c:strRef>
              <c:f>'BCTC du phong'!$B$41</c:f>
              <c:strCache>
                <c:ptCount val="1"/>
                <c:pt idx="0">
                  <c:v>III. Các khoản phải thu ngắn hạn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phong'!$C$41:$L$41</c:f>
              <c:numCache>
                <c:formatCode>_-* #,##0\ _₫_-;\-* #,##0\ _₫_-;_-* "-"??\ _₫_-;_-@_-</c:formatCode>
                <c:ptCount val="10"/>
                <c:pt idx="0">
                  <c:v>305862812000</c:v>
                </c:pt>
                <c:pt idx="1">
                  <c:v>311307010000</c:v>
                </c:pt>
                <c:pt idx="2">
                  <c:v>400550889000</c:v>
                </c:pt>
                <c:pt idx="3">
                  <c:v>585386459000</c:v>
                </c:pt>
                <c:pt idx="4">
                  <c:v>717170550000</c:v>
                </c:pt>
                <c:pt idx="5">
                  <c:v>548492092569.58453</c:v>
                </c:pt>
                <c:pt idx="6">
                  <c:v>837661348282.62</c:v>
                </c:pt>
                <c:pt idx="7">
                  <c:v>750451399757.06042</c:v>
                </c:pt>
                <c:pt idx="8">
                  <c:v>1155654585260.4268</c:v>
                </c:pt>
                <c:pt idx="9">
                  <c:v>1227367117749.7964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6-47D1-AA96-62905CEC4471}"/>
            </c:ext>
          </c:extLst>
        </c:ser>
        <c:ser>
          <c:idx val="3"/>
          <c:order val="3"/>
          <c:tx>
            <c:strRef>
              <c:f>'BCTC du phong'!$B$50</c:f>
              <c:strCache>
                <c:ptCount val="1"/>
                <c:pt idx="0">
                  <c:v>IV. Hàng tồn kho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phong'!$C$50:$L$50</c:f>
              <c:numCache>
                <c:formatCode>_-* #,##0\ _₫_-;\-* #,##0\ _₫_-;_-* "-"??\ _₫_-;_-@_-</c:formatCode>
                <c:ptCount val="10"/>
                <c:pt idx="0">
                  <c:v>277343788000</c:v>
                </c:pt>
                <c:pt idx="1">
                  <c:v>320318925000</c:v>
                </c:pt>
                <c:pt idx="2">
                  <c:v>244889043000</c:v>
                </c:pt>
                <c:pt idx="3">
                  <c:v>266490182000</c:v>
                </c:pt>
                <c:pt idx="4">
                  <c:v>219139200000</c:v>
                </c:pt>
                <c:pt idx="5">
                  <c:v>235981473687.03491</c:v>
                </c:pt>
                <c:pt idx="6">
                  <c:v>261146961105.22626</c:v>
                </c:pt>
                <c:pt idx="7">
                  <c:v>308796390071.31024</c:v>
                </c:pt>
                <c:pt idx="8">
                  <c:v>375691489796.47491</c:v>
                </c:pt>
                <c:pt idx="9">
                  <c:v>480502011416.99469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6-47D1-AA96-62905CEC4471}"/>
            </c:ext>
          </c:extLst>
        </c:ser>
        <c:ser>
          <c:idx val="4"/>
          <c:order val="4"/>
          <c:tx>
            <c:strRef>
              <c:f>'BCTC du phong'!$B$53</c:f>
              <c:strCache>
                <c:ptCount val="1"/>
                <c:pt idx="0">
                  <c:v>V. Tài sản ngắn hạn khác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phong'!$C$53:$L$53</c:f>
              <c:numCache>
                <c:formatCode>_-* #,##0\ _₫_-;\-* #,##0\ _₫_-;_-* "-"??\ _₫_-;_-@_-</c:formatCode>
                <c:ptCount val="10"/>
                <c:pt idx="0">
                  <c:v>1623493000</c:v>
                </c:pt>
                <c:pt idx="1">
                  <c:v>3984368000</c:v>
                </c:pt>
                <c:pt idx="2">
                  <c:v>5039336000</c:v>
                </c:pt>
                <c:pt idx="3">
                  <c:v>10306780000</c:v>
                </c:pt>
                <c:pt idx="4">
                  <c:v>3864663000</c:v>
                </c:pt>
                <c:pt idx="5">
                  <c:v>7210704275.165534</c:v>
                </c:pt>
                <c:pt idx="6">
                  <c:v>7876254227.3082952</c:v>
                </c:pt>
                <c:pt idx="7">
                  <c:v>9029897336.1005058</c:v>
                </c:pt>
                <c:pt idx="8">
                  <c:v>10844683546.622707</c:v>
                </c:pt>
                <c:pt idx="9">
                  <c:v>13565101513.745594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F6-47D1-AA96-62905CEC4471}"/>
            </c:ext>
          </c:extLst>
        </c:ser>
        <c:ser>
          <c:idx val="5"/>
          <c:order val="5"/>
          <c:tx>
            <c:strRef>
              <c:f>'BCTC du phong'!$B$61</c:f>
              <c:strCache>
                <c:ptCount val="1"/>
                <c:pt idx="0">
                  <c:v>I. Các khoản phải thu dài hạn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phong'!$C$61:$L$61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F6-47D1-AA96-62905CEC4471}"/>
            </c:ext>
          </c:extLst>
        </c:ser>
        <c:ser>
          <c:idx val="6"/>
          <c:order val="6"/>
          <c:tx>
            <c:strRef>
              <c:f>'BCTC du phong'!$B$69</c:f>
              <c:strCache>
                <c:ptCount val="1"/>
                <c:pt idx="0">
                  <c:v>II. Tài sản cố định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phong'!$C$69:$L$69</c:f>
              <c:numCache>
                <c:formatCode>_-* #,##0\ _₫_-;\-* #,##0\ _₫_-;_-* "-"??\ _₫_-;_-@_-</c:formatCode>
                <c:ptCount val="10"/>
                <c:pt idx="0">
                  <c:v>242623219000</c:v>
                </c:pt>
                <c:pt idx="1">
                  <c:v>219085635000</c:v>
                </c:pt>
                <c:pt idx="2">
                  <c:v>200927820000</c:v>
                </c:pt>
                <c:pt idx="3">
                  <c:v>185645766000</c:v>
                </c:pt>
                <c:pt idx="4">
                  <c:v>200523327000</c:v>
                </c:pt>
                <c:pt idx="5">
                  <c:v>163729244885.75934</c:v>
                </c:pt>
                <c:pt idx="6">
                  <c:v>140925791937.89526</c:v>
                </c:pt>
                <c:pt idx="7">
                  <c:v>107779510753.73621</c:v>
                </c:pt>
                <c:pt idx="8">
                  <c:v>89126445747.126526</c:v>
                </c:pt>
                <c:pt idx="9">
                  <c:v>64510552268.870483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F6-47D1-AA96-62905CEC4471}"/>
            </c:ext>
          </c:extLst>
        </c:ser>
        <c:ser>
          <c:idx val="7"/>
          <c:order val="7"/>
          <c:tx>
            <c:strRef>
              <c:f>'BCTC du phong'!$B$79</c:f>
              <c:strCache>
                <c:ptCount val="1"/>
                <c:pt idx="0">
                  <c:v>III. Bất động sản đầu tư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phong'!$C$79:$L$79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F6-47D1-AA96-62905CEC4471}"/>
            </c:ext>
          </c:extLst>
        </c:ser>
        <c:ser>
          <c:idx val="8"/>
          <c:order val="8"/>
          <c:tx>
            <c:strRef>
              <c:f>'BCTC du phong'!$B$82</c:f>
              <c:strCache>
                <c:ptCount val="1"/>
                <c:pt idx="0">
                  <c:v>IV. Tài sản dở dang dài hạn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phong'!$C$82:$L$82</c:f>
              <c:numCache>
                <c:formatCode>_-* #,##0\ _₫_-;\-* #,##0\ _₫_-;_-* "-"??\ _₫_-;_-@_-</c:formatCode>
                <c:ptCount val="10"/>
                <c:pt idx="0">
                  <c:v>1869249000</c:v>
                </c:pt>
                <c:pt idx="1">
                  <c:v>1379610000</c:v>
                </c:pt>
                <c:pt idx="2">
                  <c:v>2464967000</c:v>
                </c:pt>
                <c:pt idx="3">
                  <c:v>25264977000</c:v>
                </c:pt>
                <c:pt idx="4">
                  <c:v>14607646000</c:v>
                </c:pt>
                <c:pt idx="5">
                  <c:v>27319516800.207489</c:v>
                </c:pt>
                <c:pt idx="6">
                  <c:v>15022453483.258385</c:v>
                </c:pt>
                <c:pt idx="7">
                  <c:v>28290232638.804573</c:v>
                </c:pt>
                <c:pt idx="8">
                  <c:v>20684166536.289276</c:v>
                </c:pt>
                <c:pt idx="9">
                  <c:v>42498808492.388329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F6-47D1-AA96-62905CEC4471}"/>
            </c:ext>
          </c:extLst>
        </c:ser>
        <c:ser>
          <c:idx val="9"/>
          <c:order val="9"/>
          <c:tx>
            <c:strRef>
              <c:f>'BCTC du phong'!$B$85</c:f>
              <c:strCache>
                <c:ptCount val="1"/>
                <c:pt idx="0">
                  <c:v>V. Đầu tư tài chính dài hạn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phong'!$C$85:$L$85</c:f>
              <c:numCache>
                <c:formatCode>_-* #,##0\ _₫_-;\-* #,##0\ _₫_-;_-* "-"??\ _₫_-;_-@_-</c:formatCode>
                <c:ptCount val="10"/>
                <c:pt idx="0">
                  <c:v>13168997000</c:v>
                </c:pt>
                <c:pt idx="1">
                  <c:v>10572928000</c:v>
                </c:pt>
                <c:pt idx="2">
                  <c:v>12001582000</c:v>
                </c:pt>
                <c:pt idx="3">
                  <c:v>12137262000</c:v>
                </c:pt>
                <c:pt idx="4">
                  <c:v>12843956000</c:v>
                </c:pt>
                <c:pt idx="5">
                  <c:v>12843956000</c:v>
                </c:pt>
                <c:pt idx="6">
                  <c:v>12843956000</c:v>
                </c:pt>
                <c:pt idx="7">
                  <c:v>12843956000</c:v>
                </c:pt>
                <c:pt idx="8">
                  <c:v>12843956000</c:v>
                </c:pt>
                <c:pt idx="9">
                  <c:v>12843956000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F6-47D1-AA96-62905CEC4471}"/>
            </c:ext>
          </c:extLst>
        </c:ser>
        <c:ser>
          <c:idx val="10"/>
          <c:order val="10"/>
          <c:tx>
            <c:strRef>
              <c:f>'BCTC du phong'!$B$92</c:f>
              <c:strCache>
                <c:ptCount val="1"/>
                <c:pt idx="0">
                  <c:v>VI. Tài sản dài hạn khác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phong'!$C$92:$L$92</c:f>
              <c:numCache>
                <c:formatCode>_-* #,##0\ _₫_-;\-* #,##0\ _₫_-;_-* "-"??\ _₫_-;_-@_-</c:formatCode>
                <c:ptCount val="10"/>
                <c:pt idx="0">
                  <c:v>10367593000</c:v>
                </c:pt>
                <c:pt idx="1">
                  <c:v>10026175000</c:v>
                </c:pt>
                <c:pt idx="2">
                  <c:v>10868322000</c:v>
                </c:pt>
                <c:pt idx="3">
                  <c:v>10349026000</c:v>
                </c:pt>
                <c:pt idx="4">
                  <c:v>6536020000</c:v>
                </c:pt>
                <c:pt idx="5">
                  <c:v>6536020000</c:v>
                </c:pt>
                <c:pt idx="6">
                  <c:v>6536020000</c:v>
                </c:pt>
                <c:pt idx="7">
                  <c:v>6536020000</c:v>
                </c:pt>
                <c:pt idx="8">
                  <c:v>6536020000</c:v>
                </c:pt>
                <c:pt idx="9">
                  <c:v>6536020000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F6-47D1-AA96-62905CEC4471}"/>
            </c:ext>
          </c:extLst>
        </c:ser>
        <c:ser>
          <c:idx val="11"/>
          <c:order val="11"/>
          <c:tx>
            <c:strRef>
              <c:f>'BCTC du phong'!$B$97</c:f>
              <c:strCache>
                <c:ptCount val="1"/>
                <c:pt idx="0">
                  <c:v>VII. Lợi thế thương mại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phong'!$C$97:$L$97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3F6-47D1-AA96-62905CEC4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5975120"/>
        <c:axId val="615995920"/>
      </c:barChart>
      <c:catAx>
        <c:axId val="6159751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95920"/>
        <c:crosses val="autoZero"/>
        <c:auto val="1"/>
        <c:lblAlgn val="ctr"/>
        <c:lblOffset val="100"/>
        <c:noMultiLvlLbl val="0"/>
      </c:catAx>
      <c:valAx>
        <c:axId val="61599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₫_-;\-* #,##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Cấu</a:t>
            </a:r>
            <a:r>
              <a:rPr lang="en-US" baseline="0"/>
              <a:t> trúc nguồn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'BCTC du phong'!$B$102</c:f>
              <c:strCache>
                <c:ptCount val="1"/>
                <c:pt idx="0">
                  <c:v>I. Nợ ngắn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phong'!$C$102:$L$102</c:f>
              <c:numCache>
                <c:formatCode>_-* #,##0\ _₫_-;\-* #,##0\ _₫_-;_-* "-"??\ _₫_-;_-@_-</c:formatCode>
                <c:ptCount val="10"/>
                <c:pt idx="0">
                  <c:v>193727679000</c:v>
                </c:pt>
                <c:pt idx="1">
                  <c:v>199685823000</c:v>
                </c:pt>
                <c:pt idx="2">
                  <c:v>351855610000</c:v>
                </c:pt>
                <c:pt idx="3">
                  <c:v>334490689000</c:v>
                </c:pt>
                <c:pt idx="4">
                  <c:v>279568196000</c:v>
                </c:pt>
                <c:pt idx="5">
                  <c:v>269389309679.18951</c:v>
                </c:pt>
                <c:pt idx="6">
                  <c:v>342772739530.44769</c:v>
                </c:pt>
                <c:pt idx="7">
                  <c:v>351989825304.97864</c:v>
                </c:pt>
                <c:pt idx="8">
                  <c:v>477154189646.8208</c:v>
                </c:pt>
                <c:pt idx="9">
                  <c:v>554120522255.85474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D-4433-B784-210EEEEB9656}"/>
            </c:ext>
          </c:extLst>
        </c:ser>
        <c:ser>
          <c:idx val="1"/>
          <c:order val="1"/>
          <c:tx>
            <c:strRef>
              <c:f>'BCTC du phong'!$B$117</c:f>
              <c:strCache>
                <c:ptCount val="1"/>
                <c:pt idx="0">
                  <c:v>II. Nợ dài hạn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phong'!$C$117:$L$117</c:f>
              <c:numCache>
                <c:formatCode>_-* #,##0\ _₫_-;\-* #,##0\ _₫_-;_-* "-"??\ _₫_-;_-@_-</c:formatCode>
                <c:ptCount val="10"/>
                <c:pt idx="0">
                  <c:v>976991000</c:v>
                </c:pt>
                <c:pt idx="1">
                  <c:v>674920000</c:v>
                </c:pt>
                <c:pt idx="2">
                  <c:v>811815000</c:v>
                </c:pt>
                <c:pt idx="3">
                  <c:v>1058336000</c:v>
                </c:pt>
                <c:pt idx="4">
                  <c:v>1215628000</c:v>
                </c:pt>
                <c:pt idx="5">
                  <c:v>1215628000</c:v>
                </c:pt>
                <c:pt idx="6">
                  <c:v>1215628000</c:v>
                </c:pt>
                <c:pt idx="7">
                  <c:v>1215628000</c:v>
                </c:pt>
                <c:pt idx="8">
                  <c:v>1215628000</c:v>
                </c:pt>
                <c:pt idx="9">
                  <c:v>1215628000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D-4433-B784-210EEEEB9656}"/>
            </c:ext>
          </c:extLst>
        </c:ser>
        <c:ser>
          <c:idx val="2"/>
          <c:order val="2"/>
          <c:tx>
            <c:strRef>
              <c:f>'BCTC du phong'!$B$133</c:f>
              <c:strCache>
                <c:ptCount val="1"/>
                <c:pt idx="0">
                  <c:v>I. Vốn chủ sở hữu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phong'!$C$133:$L$133</c:f>
              <c:numCache>
                <c:formatCode>_-* #,##0\ _₫_-;\-* #,##0\ _₫_-;_-* "-"??\ _₫_-;_-@_-</c:formatCode>
                <c:ptCount val="10"/>
                <c:pt idx="0">
                  <c:v>793318496000</c:v>
                </c:pt>
                <c:pt idx="1">
                  <c:v>883633401000</c:v>
                </c:pt>
                <c:pt idx="2">
                  <c:v>952805914000</c:v>
                </c:pt>
                <c:pt idx="3">
                  <c:v>1129539832000</c:v>
                </c:pt>
                <c:pt idx="4">
                  <c:v>1252268690000</c:v>
                </c:pt>
                <c:pt idx="5">
                  <c:v>1389099058193.0059</c:v>
                </c:pt>
                <c:pt idx="6">
                  <c:v>1548366906330.3328</c:v>
                </c:pt>
                <c:pt idx="7">
                  <c:v>1723475696020.5229</c:v>
                </c:pt>
                <c:pt idx="8">
                  <c:v>1936824416964.5464</c:v>
                </c:pt>
                <c:pt idx="9">
                  <c:v>2193379677276.5815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1D-4433-B784-210EEEEB9656}"/>
            </c:ext>
          </c:extLst>
        </c:ser>
        <c:ser>
          <c:idx val="3"/>
          <c:order val="3"/>
          <c:tx>
            <c:strRef>
              <c:f>'BCTC du phong'!$B$152</c:f>
              <c:strCache>
                <c:ptCount val="1"/>
                <c:pt idx="0">
                  <c:v>II. Nguồn kinh phí và quỹ khác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phong'!$C$152:$L$152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1D-4433-B784-210EEEEB9656}"/>
            </c:ext>
          </c:extLst>
        </c:ser>
        <c:ser>
          <c:idx val="4"/>
          <c:order val="4"/>
          <c:tx>
            <c:strRef>
              <c:f>'BCTC du phong'!$B$155</c:f>
              <c:strCache>
                <c:ptCount val="1"/>
                <c:pt idx="0">
                  <c:v>C. LỢI ÍCH CỔ ĐÔNG THIỂU SỐ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phong'!$C$155:$L$155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1D-4433-B784-210EEEEB9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0649808"/>
        <c:axId val="720637328"/>
      </c:barChart>
      <c:catAx>
        <c:axId val="7206498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37328"/>
        <c:crosses val="autoZero"/>
        <c:auto val="1"/>
        <c:lblAlgn val="ctr"/>
        <c:lblOffset val="100"/>
        <c:noMultiLvlLbl val="0"/>
      </c:catAx>
      <c:valAx>
        <c:axId val="7206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₫_-;\-* #,##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4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Vốn</a:t>
            </a:r>
            <a:r>
              <a:rPr lang="en-US" baseline="0"/>
              <a:t> vay và nguồn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'BCTC du phong'!$B$156</c:f>
              <c:strCache>
                <c:ptCount val="1"/>
                <c:pt idx="0">
                  <c:v>TỔNG CỘNG NGUỒN VỐN</c:v>
                </c:pt>
              </c:strCache>
            </c:strRef>
          </c:tx>
          <c:spPr>
            <a:solidFill>
              <a:srgbClr val="92D050">
                <a:alpha val="38000"/>
              </a:srgbClr>
            </a:solidFill>
            <a:ln>
              <a:noFill/>
            </a:ln>
            <a:effectLst/>
          </c:spPr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phong'!$C$156:$L$156</c:f>
              <c:numCache>
                <c:formatCode>_-* #,##0\ _₫_-;\-* #,##0\ _₫_-;_-* "-"??\ _₫_-;_-@_-</c:formatCode>
                <c:ptCount val="10"/>
                <c:pt idx="0">
                  <c:v>988023167000</c:v>
                </c:pt>
                <c:pt idx="1">
                  <c:v>1083994144000</c:v>
                </c:pt>
                <c:pt idx="2">
                  <c:v>1305473339000</c:v>
                </c:pt>
                <c:pt idx="3">
                  <c:v>1465088857000</c:v>
                </c:pt>
                <c:pt idx="4">
                  <c:v>1533052514000</c:v>
                </c:pt>
                <c:pt idx="5">
                  <c:v>1659703995872.1953</c:v>
                </c:pt>
                <c:pt idx="6">
                  <c:v>1892355273860.7805</c:v>
                </c:pt>
                <c:pt idx="7">
                  <c:v>2076681149325.5015</c:v>
                </c:pt>
                <c:pt idx="8">
                  <c:v>2415194234611.3672</c:v>
                </c:pt>
                <c:pt idx="9">
                  <c:v>2748715827532.4365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F-48D9-AFE9-0A702966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839984"/>
        <c:axId val="720830000"/>
      </c:areaChart>
      <c:barChart>
        <c:barDir val="col"/>
        <c:grouping val="stacked"/>
        <c:varyColors val="0"/>
        <c:ser>
          <c:idx val="0"/>
          <c:order val="0"/>
          <c:tx>
            <c:strRef>
              <c:f>'BCTC du phong'!$B$112</c:f>
              <c:strCache>
                <c:ptCount val="1"/>
                <c:pt idx="0">
                  <c:v>10. Vay và nợ thuê tài chính ngắn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phong'!$C$112:$L$112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23497576000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F-48D9-AFE9-0A7029660F4E}"/>
            </c:ext>
          </c:extLst>
        </c:ser>
        <c:ser>
          <c:idx val="1"/>
          <c:order val="1"/>
          <c:tx>
            <c:strRef>
              <c:f>'BCTC du phong'!$B$125</c:f>
              <c:strCache>
                <c:ptCount val="1"/>
                <c:pt idx="0">
                  <c:v>8. Vay và nợ thuê tài chính dài hạn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phong'!$C$125:$L$125</c:f>
              <c:numCache>
                <c:formatCode>_-* #,##0\ _₫_-;\-* #,##0\ _₫_-;_-* "-"??\ _₫_-;_-@_-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F-48D9-AFE9-0A702966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0818352"/>
        <c:axId val="720834160"/>
      </c:barChart>
      <c:catAx>
        <c:axId val="72081835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34160"/>
        <c:crosses val="autoZero"/>
        <c:auto val="1"/>
        <c:lblAlgn val="ctr"/>
        <c:lblOffset val="100"/>
        <c:noMultiLvlLbl val="0"/>
      </c:catAx>
      <c:valAx>
        <c:axId val="7208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₫_-;\-* #,##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818352"/>
        <c:crosses val="autoZero"/>
        <c:crossBetween val="between"/>
      </c:valAx>
      <c:valAx>
        <c:axId val="720830000"/>
        <c:scaling>
          <c:orientation val="minMax"/>
        </c:scaling>
        <c:delete val="1"/>
        <c:axPos val="r"/>
        <c:numFmt formatCode="_-* #,##0\ _₫_-;\-* #,##0\ _₫_-;_-* &quot;-&quot;??\ _₫_-;_-@_-" sourceLinked="1"/>
        <c:majorTickMark val="out"/>
        <c:minorTickMark val="none"/>
        <c:tickLblPos val="nextTo"/>
        <c:crossAx val="720839984"/>
        <c:crosses val="max"/>
        <c:crossBetween val="between"/>
      </c:valAx>
      <c:catAx>
        <c:axId val="72083998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720830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Dòng</a:t>
            </a:r>
            <a:r>
              <a:rPr lang="en-US" baseline="0"/>
              <a:t> tiền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'BCTC du phong'!$B$288</c:f>
              <c:strCache>
                <c:ptCount val="1"/>
                <c:pt idx="0">
                  <c:v>I. Lưu chuyển tiền từ hoạt động kinh doanh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phong'!$C$293:$L$293</c:f>
              <c:numCache>
                <c:formatCode>_-* #,##0\ _₫_-;\-* #,##0\ _₫_-;_-* "-"??\ _₫_-;_-@_-</c:formatCode>
                <c:ptCount val="10"/>
                <c:pt idx="0">
                  <c:v>166982084000</c:v>
                </c:pt>
                <c:pt idx="1">
                  <c:v>135407454000</c:v>
                </c:pt>
                <c:pt idx="2">
                  <c:v>301878454000</c:v>
                </c:pt>
                <c:pt idx="3">
                  <c:v>26831105000</c:v>
                </c:pt>
                <c:pt idx="4">
                  <c:v>111073791000</c:v>
                </c:pt>
                <c:pt idx="5">
                  <c:v>409114891044.28571</c:v>
                </c:pt>
                <c:pt idx="6">
                  <c:v>62062143478.929993</c:v>
                </c:pt>
                <c:pt idx="7">
                  <c:v>376594279223.60052</c:v>
                </c:pt>
                <c:pt idx="8">
                  <c:v>40017652689.321777</c:v>
                </c:pt>
                <c:pt idx="9">
                  <c:v>354393489564.80261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A-44D2-B0E7-E1BF14E14DEF}"/>
            </c:ext>
          </c:extLst>
        </c:ser>
        <c:ser>
          <c:idx val="1"/>
          <c:order val="1"/>
          <c:tx>
            <c:strRef>
              <c:f>'BCTC du phong'!$B$295</c:f>
              <c:strCache>
                <c:ptCount val="1"/>
                <c:pt idx="0">
                  <c:v>II. Lưu chuyển tiền từ hoạt động đầu tư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phong'!$C$307:$L$307</c:f>
              <c:numCache>
                <c:formatCode>#,##0_);\(#,##0\)</c:formatCode>
                <c:ptCount val="10"/>
                <c:pt idx="0">
                  <c:v>-12412677000</c:v>
                </c:pt>
                <c:pt idx="1">
                  <c:v>-124825567000</c:v>
                </c:pt>
                <c:pt idx="2">
                  <c:v>-165989129000</c:v>
                </c:pt>
                <c:pt idx="3">
                  <c:v>-42733030000</c:v>
                </c:pt>
                <c:pt idx="4">
                  <c:v>18101197000</c:v>
                </c:pt>
                <c:pt idx="5" formatCode="_-* #,##0\ _₫_-;\-* #,##0\ _₫_-;_-* &quot;-&quot;??\ _₫_-;_-@_-">
                  <c:v>-27319516800.207493</c:v>
                </c:pt>
                <c:pt idx="6" formatCode="_-* #,##0\ _₫_-;\-* #,##0\ _₫_-;_-* &quot;-&quot;??\ _₫_-;_-@_-">
                  <c:v>-15022453483.258385</c:v>
                </c:pt>
                <c:pt idx="7" formatCode="_-* #,##0\ _₫_-;\-* #,##0\ _₫_-;_-* &quot;-&quot;??\ _₫_-;_-@_-">
                  <c:v>-28290232638.804573</c:v>
                </c:pt>
                <c:pt idx="8" formatCode="_-* #,##0\ _₫_-;\-* #,##0\ _₫_-;_-* &quot;-&quot;??\ _₫_-;_-@_-">
                  <c:v>-20684166536.289276</c:v>
                </c:pt>
                <c:pt idx="9" formatCode="_-* #,##0\ _₫_-;\-* #,##0\ _₫_-;_-* &quot;-&quot;??\ _₫_-;_-@_-">
                  <c:v>-42498808492.388329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A-44D2-B0E7-E1BF14E14DEF}"/>
            </c:ext>
          </c:extLst>
        </c:ser>
        <c:ser>
          <c:idx val="2"/>
          <c:order val="2"/>
          <c:tx>
            <c:strRef>
              <c:f>'BCTC du phong'!$B$309</c:f>
              <c:strCache>
                <c:ptCount val="1"/>
                <c:pt idx="0">
                  <c:v>III. Lưu chuyển tiền từ hoạt động tài chính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phong'!$C$318:$L$318</c:f>
              <c:numCache>
                <c:formatCode>General</c:formatCode>
                <c:ptCount val="10"/>
                <c:pt idx="0">
                  <c:v>-48084835000</c:v>
                </c:pt>
                <c:pt idx="1">
                  <c:v>-53427594000</c:v>
                </c:pt>
                <c:pt idx="2">
                  <c:v>-69454915000</c:v>
                </c:pt>
                <c:pt idx="3">
                  <c:v>-63321052000</c:v>
                </c:pt>
                <c:pt idx="4" formatCode="_-* #,##0\ _₫_-;\-* #,##0\ _₫_-;_-* &quot;-&quot;??\ _₫_-;_-@_-">
                  <c:v>-110316238000</c:v>
                </c:pt>
                <c:pt idx="5" formatCode="_-* #,##0\ _₫_-;\-* #,##0\ _₫_-;_-* &quot;-&quot;??\ _₫_-;_-@_-">
                  <c:v>-82571538589.634674</c:v>
                </c:pt>
                <c:pt idx="6" formatCode="_-* #,##0\ _₫_-;\-* #,##0\ _₫_-;_-* &quot;-&quot;??\ _₫_-;_-@_-">
                  <c:v>-94288188825.642914</c:v>
                </c:pt>
                <c:pt idx="7" formatCode="_-* #,##0\ _₫_-;\-* #,##0\ _₫_-;_-* &quot;-&quot;??\ _₫_-;_-@_-">
                  <c:v>-105692792640.77876</c:v>
                </c:pt>
                <c:pt idx="8" formatCode="_-* #,##0\ _₫_-;\-* #,##0\ _₫_-;_-* &quot;-&quot;??\ _₫_-;_-@_-">
                  <c:v>-128474341197.09496</c:v>
                </c:pt>
                <c:pt idx="9" formatCode="_-* #,##0\ _₫_-;\-* #,##0\ _₫_-;_-* &quot;-&quot;??\ _₫_-;_-@_-">
                  <c:v>-154815308706.20056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A-44D2-B0E7-E1BF14E14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0646064"/>
        <c:axId val="720660624"/>
      </c:barChart>
      <c:lineChart>
        <c:grouping val="standard"/>
        <c:varyColors val="0"/>
        <c:ser>
          <c:idx val="3"/>
          <c:order val="3"/>
          <c:tx>
            <c:strRef>
              <c:f>'BCTC du phong'!$B$320</c:f>
              <c:strCache>
                <c:ptCount val="1"/>
                <c:pt idx="0">
                  <c:v>Lưu chuyển tiền thuần trong kỳ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'BCTC du phong'!$C$1:$L$1</c:f>
              <c:numCache>
                <c:formatCode>0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'BCTC du phong'!$C$320:$L$320</c:f>
              <c:numCache>
                <c:formatCode>General</c:formatCode>
                <c:ptCount val="10"/>
                <c:pt idx="0">
                  <c:v>106484572000</c:v>
                </c:pt>
                <c:pt idx="1">
                  <c:v>-42845708000</c:v>
                </c:pt>
                <c:pt idx="2">
                  <c:v>66434410000</c:v>
                </c:pt>
                <c:pt idx="3" formatCode="_-* #,##0\ _₫_-;\-* #,##0\ _₫_-;_-* &quot;-&quot;??\ _₫_-;_-@_-">
                  <c:v>-79222976000</c:v>
                </c:pt>
                <c:pt idx="4" formatCode="_-* #,##0\ _₫_-;\-* #,##0\ _₫_-;_-* &quot;-&quot;??\ _₫_-;_-@_-">
                  <c:v>18858749000</c:v>
                </c:pt>
                <c:pt idx="5" formatCode="_-* #,##0\ _₫_-;\-* #,##0\ _₫_-;_-* &quot;-&quot;??\ _₫_-;_-@_-">
                  <c:v>299223835654.44354</c:v>
                </c:pt>
                <c:pt idx="6" formatCode="_-* #,##0\ _₫_-;\-* #,##0\ _₫_-;_-* &quot;-&quot;??\ _₫_-;_-@_-">
                  <c:v>-47248498829.971313</c:v>
                </c:pt>
                <c:pt idx="7" formatCode="_-* #,##0\ _₫_-;\-* #,##0\ _₫_-;_-* &quot;-&quot;??\ _₫_-;_-@_-">
                  <c:v>242611253944.01718</c:v>
                </c:pt>
                <c:pt idx="8" formatCode="_-* #,##0\ _₫_-;\-* #,##0\ _₫_-;_-* &quot;-&quot;??\ _₫_-;_-@_-">
                  <c:v>-109140855044.06244</c:v>
                </c:pt>
                <c:pt idx="9" formatCode="_-* #,##0\ _₫_-;\-* #,##0\ _₫_-;_-* &quot;-&quot;??\ _₫_-;_-@_-">
                  <c:v>157079372366.21371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BA-44D2-B0E7-E1BF14E14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814192"/>
        <c:axId val="720835408"/>
      </c:lineChart>
      <c:catAx>
        <c:axId val="7206460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60624"/>
        <c:crosses val="autoZero"/>
        <c:auto val="1"/>
        <c:lblAlgn val="ctr"/>
        <c:lblOffset val="100"/>
        <c:noMultiLvlLbl val="0"/>
      </c:catAx>
      <c:valAx>
        <c:axId val="7206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₫_-;\-* #,##0\ _₫_-;_-* &quot;-&quot;??\ _₫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646064"/>
        <c:crosses val="autoZero"/>
        <c:crossBetween val="between"/>
      </c:valAx>
      <c:valAx>
        <c:axId val="72083540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720814192"/>
        <c:crosses val="max"/>
        <c:crossBetween val="between"/>
      </c:valAx>
      <c:catAx>
        <c:axId val="72081419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72083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174625</xdr:rowOff>
    </xdr:from>
    <xdr:to>
      <xdr:col>14</xdr:col>
      <xdr:colOff>12700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180975</xdr:colOff>
      <xdr:row>0</xdr:row>
      <xdr:rowOff>180975</xdr:rowOff>
    </xdr:from>
    <xdr:to>
      <xdr:col>20</xdr:col>
      <xdr:colOff>304800</xdr:colOff>
      <xdr:row>14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16</xdr:row>
      <xdr:rowOff>3175</xdr:rowOff>
    </xdr:from>
    <xdr:to>
      <xdr:col>20</xdr:col>
      <xdr:colOff>323850</xdr:colOff>
      <xdr:row>28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574675</xdr:colOff>
      <xdr:row>29</xdr:row>
      <xdr:rowOff>98425</xdr:rowOff>
    </xdr:from>
    <xdr:to>
      <xdr:col>20</xdr:col>
      <xdr:colOff>317500</xdr:colOff>
      <xdr:row>41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534115</xdr:colOff>
      <xdr:row>1</xdr:row>
      <xdr:rowOff>11164</xdr:rowOff>
    </xdr:from>
    <xdr:to>
      <xdr:col>29</xdr:col>
      <xdr:colOff>0</xdr:colOff>
      <xdr:row>14</xdr:row>
      <xdr:rowOff>71693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581024</xdr:colOff>
      <xdr:row>16</xdr:row>
      <xdr:rowOff>7272</xdr:rowOff>
    </xdr:from>
    <xdr:to>
      <xdr:col>29</xdr:col>
      <xdr:colOff>133144</xdr:colOff>
      <xdr:row>28</xdr:row>
      <xdr:rowOff>23147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F%20model/Model%20automatic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ÀN GIAO DỊCH"/>
      <sheetName val="CP Tự Chọn"/>
      <sheetName val="HOSE"/>
      <sheetName val="HNX"/>
      <sheetName val="UPCOM"/>
      <sheetName val="CP Theo Ngành"/>
      <sheetName val="Giao Dịch Thỏa Thuận"/>
      <sheetName val="Phái Sinh"/>
      <sheetName val="Chứng Quyền"/>
      <sheetName val="Quỹ Mở"/>
      <sheetName val="Realtime VN30 - PHÁI SINH"/>
      <sheetName val="Hồ Sơ Doanh Nghiệp"/>
      <sheetName val="CỔ PHIẾU - Realtime"/>
      <sheetName val="Bảng Cân Đối Kế Toán"/>
      <sheetName val="Bảng Cân Đối Kế Toán - Quý"/>
      <sheetName val="BC Kết Quả Kinh Doanh"/>
      <sheetName val="BC Kết Quả Kinh Doanh - Quý"/>
      <sheetName val="BC Lưu Chuyển Tiền Tệ"/>
      <sheetName val="BC Lưu Chuyển Tiền Tệ - Quý"/>
      <sheetName val="Chỉ Số Tài Chính"/>
      <sheetName val="Chỉ Số Tài Chính - Quý"/>
      <sheetName val="Sự Kiện Quyền"/>
      <sheetName val="BCTC du phong"/>
      <sheetName val="Doanh thu"/>
      <sheetName val="Vốn lưu động"/>
      <sheetName val="TSCĐ"/>
      <sheetName val="Vốn CSH"/>
      <sheetName val="DT&amp;CP tài chính"/>
      <sheetName val="Định giá"/>
      <sheetName val="Giả định vs biểu đồ"/>
      <sheetName val="Sheet1"/>
      <sheetName val="Mã Chứng Khoáng"/>
      <sheetName val="TempCK"/>
      <sheetName val="Model automat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C5">
            <v>2015</v>
          </cell>
          <cell r="D5">
            <v>2016</v>
          </cell>
          <cell r="E5">
            <v>2017</v>
          </cell>
          <cell r="F5">
            <v>2018</v>
          </cell>
          <cell r="G5">
            <v>2019</v>
          </cell>
        </row>
        <row r="45">
          <cell r="C45">
            <v>-232209881000</v>
          </cell>
          <cell r="D45">
            <v>-259603745000</v>
          </cell>
          <cell r="E45">
            <v>-287192591000</v>
          </cell>
          <cell r="F45">
            <v>-314298604000</v>
          </cell>
          <cell r="G45">
            <v>-333432667000</v>
          </cell>
        </row>
        <row r="86">
          <cell r="C86">
            <v>1583413000</v>
          </cell>
          <cell r="D86">
            <v>394478000</v>
          </cell>
          <cell r="E86">
            <v>2299415000</v>
          </cell>
          <cell r="F86">
            <v>2290805000</v>
          </cell>
          <cell r="G86">
            <v>6985902000</v>
          </cell>
        </row>
      </sheetData>
      <sheetData sheetId="15"/>
      <sheetData sheetId="16">
        <row r="5">
          <cell r="C5">
            <v>2015</v>
          </cell>
          <cell r="D5">
            <v>2016</v>
          </cell>
          <cell r="E5">
            <v>2017</v>
          </cell>
          <cell r="F5">
            <v>2018</v>
          </cell>
          <cell r="G5">
            <v>2019</v>
          </cell>
        </row>
        <row r="8">
          <cell r="C8">
            <v>1234030822000</v>
          </cell>
          <cell r="D8">
            <v>1289294177000</v>
          </cell>
          <cell r="E8">
            <v>1339650588000</v>
          </cell>
          <cell r="F8">
            <v>1385088491000</v>
          </cell>
          <cell r="G8">
            <v>1468390310000</v>
          </cell>
        </row>
      </sheetData>
      <sheetData sheetId="17"/>
      <sheetData sheetId="18"/>
      <sheetData sheetId="19"/>
      <sheetData sheetId="20">
        <row r="12">
          <cell r="C12">
            <v>0.21</v>
          </cell>
        </row>
      </sheetData>
      <sheetData sheetId="21"/>
      <sheetData sheetId="22"/>
      <sheetData sheetId="23">
        <row r="1">
          <cell r="C1">
            <v>2015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g_tính7"/>
  <dimension ref="A1:XFD328"/>
  <sheetViews>
    <sheetView tabSelected="1" zoomScale="80" zoomScaleNormal="80" workbookViewId="0">
      <selection activeCell="G7" sqref="G7"/>
    </sheetView>
  </sheetViews>
  <sheetFormatPr defaultRowHeight="15" x14ac:dyDescent="0.25"/>
  <cols>
    <col min="1" max="1" width="5" customWidth="1"/>
    <col min="2" max="2" width="42.42578125" customWidth="1"/>
    <col min="3" max="6" width="20.5703125" customWidth="1"/>
    <col min="7" max="7" width="22.5703125" style="30" customWidth="1"/>
    <col min="8" max="8" width="25.42578125" customWidth="1"/>
    <col min="9" max="12" width="20.5703125" customWidth="1"/>
  </cols>
  <sheetData>
    <row r="1" spans="2:12" x14ac:dyDescent="0.25">
      <c r="B1" s="2" t="s">
        <v>2</v>
      </c>
      <c r="C1" s="3">
        <v>2015</v>
      </c>
      <c r="D1" s="3">
        <v>2016</v>
      </c>
      <c r="E1" s="3">
        <v>2017</v>
      </c>
      <c r="F1" s="3">
        <v>2018</v>
      </c>
      <c r="G1" s="4">
        <v>2019</v>
      </c>
      <c r="H1" s="5">
        <f>G1+1</f>
        <v>2020</v>
      </c>
      <c r="I1" s="5">
        <f>H1+1</f>
        <v>2021</v>
      </c>
      <c r="J1" s="5">
        <f>I1+1</f>
        <v>2022</v>
      </c>
      <c r="K1" s="5">
        <f>J1+1</f>
        <v>2023</v>
      </c>
      <c r="L1" s="5">
        <f>K1+1</f>
        <v>2024</v>
      </c>
    </row>
    <row r="3" spans="2:12" x14ac:dyDescent="0.25">
      <c r="B3" s="6" t="s">
        <v>182</v>
      </c>
      <c r="C3" s="7">
        <v>1401104952000</v>
      </c>
      <c r="D3" s="7">
        <v>1388396581000</v>
      </c>
      <c r="E3" s="7">
        <v>1363513240000</v>
      </c>
      <c r="F3" s="7">
        <v>1463997591000</v>
      </c>
      <c r="G3" s="8">
        <v>1533850591000</v>
      </c>
      <c r="H3" s="7"/>
      <c r="I3" s="7"/>
      <c r="J3" s="7"/>
      <c r="K3" s="7"/>
      <c r="L3" s="9"/>
    </row>
    <row r="4" spans="2:12" x14ac:dyDescent="0.25">
      <c r="B4" s="10" t="s">
        <v>183</v>
      </c>
      <c r="C4" s="11">
        <v>167074129000</v>
      </c>
      <c r="D4" s="11">
        <v>99102404000</v>
      </c>
      <c r="E4" s="11">
        <v>23862652000</v>
      </c>
      <c r="F4" s="11">
        <v>78909100000</v>
      </c>
      <c r="G4" s="12">
        <v>65460281000</v>
      </c>
      <c r="H4" s="13"/>
      <c r="I4" s="13"/>
      <c r="J4" s="13"/>
      <c r="K4" s="13"/>
      <c r="L4" s="14"/>
    </row>
    <row r="5" spans="2:12" x14ac:dyDescent="0.25">
      <c r="B5" s="15" t="s">
        <v>184</v>
      </c>
      <c r="C5" s="11">
        <v>1234030823000</v>
      </c>
      <c r="D5" s="11">
        <v>1289294177000</v>
      </c>
      <c r="E5" s="11">
        <v>1339650588000</v>
      </c>
      <c r="F5" s="11">
        <v>1385088491000</v>
      </c>
      <c r="G5" s="12">
        <v>1468390310000</v>
      </c>
      <c r="H5" s="11">
        <f>'Doanh thu'!G6</f>
        <v>1431668465000</v>
      </c>
      <c r="I5" s="11">
        <f>'Doanh thu'!H6</f>
        <v>1563811851000</v>
      </c>
      <c r="J5" s="11">
        <f>'Doanh thu'!I6</f>
        <v>1792864991400</v>
      </c>
      <c r="K5" s="11">
        <f>'Doanh thu'!J6</f>
        <v>2153186547959.9998</v>
      </c>
      <c r="L5" s="16">
        <f>'Doanh thu'!K6</f>
        <v>2693319171143.9995</v>
      </c>
    </row>
    <row r="6" spans="2:12" x14ac:dyDescent="0.25">
      <c r="B6" s="15" t="s">
        <v>185</v>
      </c>
      <c r="C6" s="11">
        <v>824272566000</v>
      </c>
      <c r="D6" s="11">
        <v>790585526000</v>
      </c>
      <c r="E6" s="11">
        <v>804867972000</v>
      </c>
      <c r="F6" s="11">
        <v>896095667000</v>
      </c>
      <c r="G6" s="12">
        <v>975656508000</v>
      </c>
      <c r="H6" s="11">
        <f>'Doanh thu'!G17</f>
        <v>914362811779.1687</v>
      </c>
      <c r="I6" s="11">
        <f>'Doanh thu'!H17</f>
        <v>998758746267.38147</v>
      </c>
      <c r="J6" s="11">
        <f>'Doanh thu'!I17</f>
        <v>1145047973573.2246</v>
      </c>
      <c r="K6" s="11">
        <f>'Doanh thu'!J17</f>
        <v>1375174318921.5161</v>
      </c>
      <c r="L6" s="16">
        <f>'Doanh thu'!K17</f>
        <v>1720140486817.2239</v>
      </c>
    </row>
    <row r="7" spans="2:12" x14ac:dyDescent="0.25">
      <c r="B7" s="15" t="s">
        <v>186</v>
      </c>
      <c r="C7" s="11">
        <v>409758257000</v>
      </c>
      <c r="D7" s="11">
        <v>498708651000</v>
      </c>
      <c r="E7" s="11">
        <v>534782616000</v>
      </c>
      <c r="F7" s="11">
        <v>488992824000</v>
      </c>
      <c r="G7" s="12">
        <v>492733802000</v>
      </c>
      <c r="H7" s="11">
        <f t="shared" ref="H7:L7" si="0">H5-H6</f>
        <v>517305653220.8313</v>
      </c>
      <c r="I7" s="11">
        <f t="shared" si="0"/>
        <v>565053104732.61853</v>
      </c>
      <c r="J7" s="11">
        <f t="shared" si="0"/>
        <v>647817017826.77539</v>
      </c>
      <c r="K7" s="11">
        <f t="shared" si="0"/>
        <v>778012229038.48364</v>
      </c>
      <c r="L7" s="16">
        <f t="shared" si="0"/>
        <v>973178684326.77563</v>
      </c>
    </row>
    <row r="8" spans="2:12" x14ac:dyDescent="0.25">
      <c r="B8" s="15" t="s">
        <v>187</v>
      </c>
      <c r="C8" s="11">
        <v>2069445000</v>
      </c>
      <c r="D8" s="11">
        <v>9650395000</v>
      </c>
      <c r="E8" s="11">
        <v>15862747000</v>
      </c>
      <c r="F8" s="11">
        <v>21072474000</v>
      </c>
      <c r="G8" s="12">
        <v>20007170000</v>
      </c>
      <c r="H8" s="11">
        <f>'DT&amp;CP tài chính'!G3</f>
        <v>19088172972.700562</v>
      </c>
      <c r="I8" s="11">
        <f>'DT&amp;CP tài chính'!H3</f>
        <v>36491415453.894821</v>
      </c>
      <c r="J8" s="11">
        <f>'DT&amp;CP tài chính'!I3</f>
        <v>33596774334.671471</v>
      </c>
      <c r="K8" s="11">
        <f>'DT&amp;CP tài chính'!J3</f>
        <v>47407019002.73024</v>
      </c>
      <c r="L8" s="16">
        <f>'DT&amp;CP tài chính'!K3</f>
        <v>40656679976.926308</v>
      </c>
    </row>
    <row r="9" spans="2:12" x14ac:dyDescent="0.25">
      <c r="B9" s="15" t="s">
        <v>188</v>
      </c>
      <c r="C9" s="11">
        <v>2753785000</v>
      </c>
      <c r="D9" s="11">
        <v>6712827000</v>
      </c>
      <c r="E9" s="11">
        <v>-595617000</v>
      </c>
      <c r="F9" s="11">
        <v>2523401000</v>
      </c>
      <c r="G9" s="12">
        <v>1353416000</v>
      </c>
      <c r="H9" s="11">
        <f>'DT&amp;CP tài chính'!G4</f>
        <v>1309112619.9002974</v>
      </c>
      <c r="I9" s="11">
        <f>'DT&amp;CP tài chính'!H4</f>
        <v>1901853972.2468011</v>
      </c>
      <c r="J9" s="11">
        <f>'DT&amp;CP tài chính'!I4</f>
        <v>1785608006.2255778</v>
      </c>
      <c r="K9" s="11">
        <f>'DT&amp;CP tài chính'!J4</f>
        <v>2649736638.1555505</v>
      </c>
      <c r="L9" s="16">
        <f>'DT&amp;CP tài chính'!K4</f>
        <v>2905353951.0458469</v>
      </c>
    </row>
    <row r="10" spans="2:12" x14ac:dyDescent="0.25">
      <c r="B10" s="15" t="s">
        <v>189</v>
      </c>
      <c r="C10" s="11">
        <v>0</v>
      </c>
      <c r="D10" s="11">
        <v>0</v>
      </c>
      <c r="E10" s="11">
        <v>0</v>
      </c>
      <c r="F10" s="11">
        <v>203969000</v>
      </c>
      <c r="G10" s="12">
        <v>1159334000</v>
      </c>
      <c r="H10" s="11">
        <f>'DT&amp;CP tài chính'!G15</f>
        <v>1309112619.9002974</v>
      </c>
      <c r="I10" s="11">
        <f>'DT&amp;CP tài chính'!H15</f>
        <v>1901853972.2468011</v>
      </c>
      <c r="J10" s="11">
        <f>'DT&amp;CP tài chính'!I15</f>
        <v>1785608006.2255778</v>
      </c>
      <c r="K10" s="11">
        <f>'DT&amp;CP tài chính'!J15</f>
        <v>2649736638.1555505</v>
      </c>
      <c r="L10" s="16">
        <f>'DT&amp;CP tài chính'!K15</f>
        <v>2905353951.0458469</v>
      </c>
    </row>
    <row r="11" spans="2:12" x14ac:dyDescent="0.25">
      <c r="B11" s="15" t="s">
        <v>190</v>
      </c>
      <c r="C11" s="11">
        <v>0</v>
      </c>
      <c r="D11" s="11">
        <v>0</v>
      </c>
      <c r="E11" s="11">
        <v>0</v>
      </c>
      <c r="F11" s="11">
        <v>0</v>
      </c>
      <c r="G11" s="12">
        <v>0</v>
      </c>
      <c r="H11" s="11">
        <f>AVERAGE(E11:G11)</f>
        <v>0</v>
      </c>
      <c r="I11" s="11">
        <f>H11</f>
        <v>0</v>
      </c>
      <c r="J11" s="11">
        <f>I11</f>
        <v>0</v>
      </c>
      <c r="K11" s="11">
        <f>J11</f>
        <v>0</v>
      </c>
      <c r="L11" s="16">
        <f>K11</f>
        <v>0</v>
      </c>
    </row>
    <row r="12" spans="2:12" x14ac:dyDescent="0.25">
      <c r="B12" s="15" t="s">
        <v>191</v>
      </c>
      <c r="C12" s="11">
        <v>143319798000</v>
      </c>
      <c r="D12" s="11">
        <v>195847520000</v>
      </c>
      <c r="E12" s="11">
        <v>197567030000</v>
      </c>
      <c r="F12" s="11">
        <v>138614540000</v>
      </c>
      <c r="G12" s="12">
        <v>145891689000</v>
      </c>
      <c r="H12" s="11">
        <f>'Doanh thu'!G20</f>
        <v>176080945836.24152</v>
      </c>
      <c r="I12" s="11">
        <f>'Doanh thu'!H20</f>
        <v>192333264694.77246</v>
      </c>
      <c r="J12" s="11">
        <f>'Doanh thu'!I20</f>
        <v>220504517044.31235</v>
      </c>
      <c r="K12" s="11">
        <f>'Doanh thu'!J20</f>
        <v>264820475686.5051</v>
      </c>
      <c r="L12" s="16">
        <f>'Doanh thu'!K20</f>
        <v>331251402603.12811</v>
      </c>
    </row>
    <row r="13" spans="2:12" x14ac:dyDescent="0.25">
      <c r="B13" s="15" t="s">
        <v>192</v>
      </c>
      <c r="C13" s="11">
        <v>82089832000</v>
      </c>
      <c r="D13" s="11">
        <v>95762726000</v>
      </c>
      <c r="E13" s="11">
        <v>96853457000</v>
      </c>
      <c r="F13" s="11">
        <v>86454724000</v>
      </c>
      <c r="G13" s="12">
        <v>79894674000</v>
      </c>
      <c r="H13" s="11">
        <f>'Doanh thu'!G23</f>
        <v>94467916127.981934</v>
      </c>
      <c r="I13" s="11">
        <f>'Doanh thu'!H23</f>
        <v>103187330301.51096</v>
      </c>
      <c r="J13" s="11">
        <f>'Doanh thu'!I23</f>
        <v>118301285372.21796</v>
      </c>
      <c r="K13" s="11">
        <f>'Doanh thu'!J23</f>
        <v>142076920176.19751</v>
      </c>
      <c r="L13" s="16">
        <f>'Doanh thu'!K23</f>
        <v>177717296836.25961</v>
      </c>
    </row>
    <row r="14" spans="2:12" x14ac:dyDescent="0.25">
      <c r="B14" s="15" t="s">
        <v>193</v>
      </c>
      <c r="C14" s="11">
        <v>183664286000</v>
      </c>
      <c r="D14" s="11">
        <v>210035975000</v>
      </c>
      <c r="E14" s="11">
        <v>256820495000</v>
      </c>
      <c r="F14" s="11">
        <v>282472633000</v>
      </c>
      <c r="G14" s="12">
        <v>285601192000</v>
      </c>
      <c r="H14" s="11">
        <f>H7+H8-H9+H11-H12-H13</f>
        <v>264535851609.40814</v>
      </c>
      <c r="I14" s="11">
        <f>I7+I8-I9+I11-I12-I13</f>
        <v>304122071217.98303</v>
      </c>
      <c r="J14" s="11">
        <f>J7+J8-J9+J11-J12-J13</f>
        <v>340822381738.69098</v>
      </c>
      <c r="K14" s="11">
        <f>K7+K8-K9+K11-K12-K13</f>
        <v>415872115540.35571</v>
      </c>
      <c r="L14" s="16">
        <f>L7+L8-L9+L11-L12-L13</f>
        <v>501961310913.26819</v>
      </c>
    </row>
    <row r="15" spans="2:12" x14ac:dyDescent="0.25">
      <c r="B15" s="15" t="s">
        <v>194</v>
      </c>
      <c r="C15" s="11">
        <v>1551102000</v>
      </c>
      <c r="D15" s="11">
        <v>1044907000</v>
      </c>
      <c r="E15" s="11">
        <v>3675965000</v>
      </c>
      <c r="F15" s="11">
        <v>3792368000</v>
      </c>
      <c r="G15" s="12">
        <v>5375202000</v>
      </c>
      <c r="H15" s="12">
        <v>5375202000</v>
      </c>
      <c r="I15" s="12">
        <v>5375202000</v>
      </c>
      <c r="J15" s="12">
        <v>5375202000</v>
      </c>
      <c r="K15" s="12">
        <v>5375202000</v>
      </c>
      <c r="L15" s="12">
        <v>5375202000</v>
      </c>
    </row>
    <row r="16" spans="2:12" x14ac:dyDescent="0.25">
      <c r="B16" s="15" t="s">
        <v>195</v>
      </c>
      <c r="C16" s="11">
        <v>2002468000</v>
      </c>
      <c r="D16" s="11">
        <v>1183963000</v>
      </c>
      <c r="E16" s="11">
        <v>834453000</v>
      </c>
      <c r="F16" s="11">
        <v>175392000</v>
      </c>
      <c r="G16" s="12">
        <v>60781000</v>
      </c>
      <c r="H16" s="12">
        <v>60781000</v>
      </c>
      <c r="I16" s="12">
        <v>60781000</v>
      </c>
      <c r="J16" s="12">
        <v>60781000</v>
      </c>
      <c r="K16" s="12">
        <v>60781000</v>
      </c>
      <c r="L16" s="12">
        <v>60781000</v>
      </c>
    </row>
    <row r="17" spans="2:16384" x14ac:dyDescent="0.25">
      <c r="B17" s="15" t="s">
        <v>196</v>
      </c>
      <c r="C17" s="11">
        <v>-451366000</v>
      </c>
      <c r="D17" s="11">
        <v>-139056000</v>
      </c>
      <c r="E17" s="11">
        <v>2841512000</v>
      </c>
      <c r="F17" s="11">
        <v>3616976000</v>
      </c>
      <c r="G17" s="12">
        <v>5314421000</v>
      </c>
      <c r="H17" s="11">
        <f>H15-H16</f>
        <v>5314421000</v>
      </c>
      <c r="I17" s="11">
        <f>I15-I16</f>
        <v>5314421000</v>
      </c>
      <c r="J17" s="11">
        <f>J15-J16</f>
        <v>5314421000</v>
      </c>
      <c r="K17" s="11">
        <f>K15-K16</f>
        <v>5314421000</v>
      </c>
      <c r="L17" s="16">
        <f>L15-L16</f>
        <v>5314421000</v>
      </c>
    </row>
    <row r="18" spans="2:16384" x14ac:dyDescent="0.25">
      <c r="B18" s="15" t="s">
        <v>197</v>
      </c>
      <c r="C18" s="11">
        <v>183212920000</v>
      </c>
      <c r="D18" s="11">
        <v>209896919000</v>
      </c>
      <c r="E18" s="11">
        <v>259662006000</v>
      </c>
      <c r="F18" s="11">
        <v>286089609000</v>
      </c>
      <c r="G18" s="12">
        <v>290915613000</v>
      </c>
      <c r="H18" s="11">
        <f>H14+H17</f>
        <v>269850272609.40814</v>
      </c>
      <c r="I18" s="11">
        <f>I14+I17</f>
        <v>309436492217.98303</v>
      </c>
      <c r="J18" s="11">
        <f>J14+J17</f>
        <v>346136802738.69098</v>
      </c>
      <c r="K18" s="11">
        <f>K14+K17</f>
        <v>421186536540.35571</v>
      </c>
      <c r="L18" s="16">
        <f>L14+L17</f>
        <v>507275731913.26819</v>
      </c>
    </row>
    <row r="19" spans="2:16384" x14ac:dyDescent="0.25">
      <c r="B19" s="15" t="s">
        <v>198</v>
      </c>
      <c r="C19" s="11">
        <v>39198931000</v>
      </c>
      <c r="D19" s="11">
        <v>44555533000</v>
      </c>
      <c r="E19" s="11">
        <v>55541499000</v>
      </c>
      <c r="F19" s="11">
        <v>52285625000</v>
      </c>
      <c r="G19" s="12">
        <v>54386519000</v>
      </c>
      <c r="H19" s="11">
        <f>H18*H20</f>
        <v>50448364826.76767</v>
      </c>
      <c r="I19" s="11">
        <f>I18*I20</f>
        <v>57848987511.394539</v>
      </c>
      <c r="J19" s="11">
        <f>J18*J20</f>
        <v>64710091028.174103</v>
      </c>
      <c r="K19" s="11">
        <f>K18*K20</f>
        <v>78740598814.461884</v>
      </c>
      <c r="L19" s="16">
        <f>L18*L20</f>
        <v>94834928065.34198</v>
      </c>
    </row>
    <row r="20" spans="2:16384" x14ac:dyDescent="0.25">
      <c r="B20" s="15" t="s">
        <v>3</v>
      </c>
      <c r="C20" s="17">
        <v>0.21395287515749434</v>
      </c>
      <c r="D20" s="17">
        <v>0.2122734016881877</v>
      </c>
      <c r="E20" s="17">
        <v>0.21389921404211903</v>
      </c>
      <c r="F20" s="17">
        <v>0.18275960872105634</v>
      </c>
      <c r="G20" s="18">
        <v>0.18694946771385557</v>
      </c>
      <c r="H20" s="19">
        <f>G20</f>
        <v>0.18694946771385557</v>
      </c>
      <c r="I20" s="19">
        <f>H20</f>
        <v>0.18694946771385557</v>
      </c>
      <c r="J20" s="19">
        <f>I20</f>
        <v>0.18694946771385557</v>
      </c>
      <c r="K20" s="19">
        <f>J20</f>
        <v>0.18694946771385557</v>
      </c>
      <c r="L20" s="20">
        <f>K20</f>
        <v>0.18694946771385557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21"/>
      <c r="ABC20" s="21"/>
      <c r="ABD20" s="21"/>
      <c r="ABE20" s="21"/>
      <c r="ABF20" s="21"/>
      <c r="ABG20" s="21"/>
      <c r="ABH20" s="21"/>
      <c r="ABI20" s="21"/>
      <c r="ABJ20" s="21"/>
      <c r="ABK20" s="21"/>
      <c r="ABL20" s="21"/>
      <c r="ABM20" s="21"/>
      <c r="ABN20" s="21"/>
      <c r="ABO20" s="21"/>
      <c r="ABP20" s="21"/>
      <c r="ABQ20" s="21"/>
      <c r="ABR20" s="21"/>
      <c r="ABS20" s="21"/>
      <c r="ABT20" s="21"/>
      <c r="ABU20" s="21"/>
      <c r="ABV20" s="21"/>
      <c r="ABW20" s="21"/>
      <c r="ABX20" s="21"/>
      <c r="ABY20" s="21"/>
      <c r="ABZ20" s="21"/>
      <c r="ACA20" s="21"/>
      <c r="ACB20" s="21"/>
      <c r="ACC20" s="21"/>
      <c r="ACD20" s="21"/>
      <c r="ACE20" s="21"/>
      <c r="ACF20" s="21"/>
      <c r="ACG20" s="21"/>
      <c r="ACH20" s="21"/>
      <c r="ACI20" s="21"/>
      <c r="ACJ20" s="21"/>
      <c r="ACK20" s="21"/>
      <c r="ACL20" s="21"/>
      <c r="ACM20" s="21"/>
      <c r="ACN20" s="21"/>
      <c r="ACO20" s="21"/>
      <c r="ACP20" s="21"/>
      <c r="ACQ20" s="21"/>
      <c r="ACR20" s="21"/>
      <c r="ACS20" s="21"/>
      <c r="ACT20" s="21"/>
      <c r="ACU20" s="21"/>
      <c r="ACV20" s="21"/>
      <c r="ACW20" s="21"/>
      <c r="ACX20" s="21"/>
      <c r="ACY20" s="21"/>
      <c r="ACZ20" s="21"/>
      <c r="ADA20" s="21"/>
      <c r="ADB20" s="21"/>
      <c r="ADC20" s="21"/>
      <c r="ADD20" s="21"/>
      <c r="ADE20" s="21"/>
      <c r="ADF20" s="21"/>
      <c r="ADG20" s="21"/>
      <c r="ADH20" s="21"/>
      <c r="ADI20" s="21"/>
      <c r="ADJ20" s="21"/>
      <c r="ADK20" s="21"/>
      <c r="ADL20" s="21"/>
      <c r="ADM20" s="21"/>
      <c r="ADN20" s="21"/>
      <c r="ADO20" s="21"/>
      <c r="ADP20" s="21"/>
      <c r="ADQ20" s="21"/>
      <c r="ADR20" s="21"/>
      <c r="ADS20" s="21"/>
      <c r="ADT20" s="21"/>
      <c r="ADU20" s="21"/>
      <c r="ADV20" s="21"/>
      <c r="ADW20" s="21"/>
      <c r="ADX20" s="21"/>
      <c r="ADY20" s="21"/>
      <c r="ADZ20" s="21"/>
      <c r="AEA20" s="21"/>
      <c r="AEB20" s="21"/>
      <c r="AEC20" s="21"/>
      <c r="AED20" s="21"/>
      <c r="AEE20" s="21"/>
      <c r="AEF20" s="21"/>
      <c r="AEG20" s="21"/>
      <c r="AEH20" s="21"/>
      <c r="AEI20" s="21"/>
      <c r="AEJ20" s="21"/>
      <c r="AEK20" s="21"/>
      <c r="AEL20" s="21"/>
      <c r="AEM20" s="21"/>
      <c r="AEN20" s="21"/>
      <c r="AEO20" s="21"/>
      <c r="AEP20" s="21"/>
      <c r="AEQ20" s="21"/>
      <c r="AER20" s="21"/>
      <c r="AES20" s="21"/>
      <c r="AET20" s="21"/>
      <c r="AEU20" s="21"/>
      <c r="AEV20" s="21"/>
      <c r="AEW20" s="21"/>
      <c r="AEX20" s="21"/>
      <c r="AEY20" s="21"/>
      <c r="AEZ20" s="21"/>
      <c r="AFA20" s="21"/>
      <c r="AFB20" s="21"/>
      <c r="AFC20" s="21"/>
      <c r="AFD20" s="21"/>
      <c r="AFE20" s="21"/>
      <c r="AFF20" s="21"/>
      <c r="AFG20" s="21"/>
      <c r="AFH20" s="21"/>
      <c r="AFI20" s="21"/>
      <c r="AFJ20" s="21"/>
      <c r="AFK20" s="21"/>
      <c r="AFL20" s="21"/>
      <c r="AFM20" s="21"/>
      <c r="AFN20" s="21"/>
      <c r="AFO20" s="21"/>
      <c r="AFP20" s="21"/>
      <c r="AFQ20" s="21"/>
      <c r="AFR20" s="21"/>
      <c r="AFS20" s="21"/>
      <c r="AFT20" s="21"/>
      <c r="AFU20" s="21"/>
      <c r="AFV20" s="21"/>
      <c r="AFW20" s="21"/>
      <c r="AFX20" s="21"/>
      <c r="AFY20" s="21"/>
      <c r="AFZ20" s="21"/>
      <c r="AGA20" s="21"/>
      <c r="AGB20" s="21"/>
      <c r="AGC20" s="21"/>
      <c r="AGD20" s="21"/>
      <c r="AGE20" s="21"/>
      <c r="AGF20" s="21"/>
      <c r="AGG20" s="21"/>
      <c r="AGH20" s="21"/>
      <c r="AGI20" s="21"/>
      <c r="AGJ20" s="21"/>
      <c r="AGK20" s="21"/>
      <c r="AGL20" s="21"/>
      <c r="AGM20" s="21"/>
      <c r="AGN20" s="21"/>
      <c r="AGO20" s="21"/>
      <c r="AGP20" s="21"/>
      <c r="AGQ20" s="21"/>
      <c r="AGR20" s="21"/>
      <c r="AGS20" s="21"/>
      <c r="AGT20" s="21"/>
      <c r="AGU20" s="21"/>
      <c r="AGV20" s="21"/>
      <c r="AGW20" s="21"/>
      <c r="AGX20" s="21"/>
      <c r="AGY20" s="21"/>
      <c r="AGZ20" s="21"/>
      <c r="AHA20" s="21"/>
      <c r="AHB20" s="21"/>
      <c r="AHC20" s="21"/>
      <c r="AHD20" s="21"/>
      <c r="AHE20" s="21"/>
      <c r="AHF20" s="21"/>
      <c r="AHG20" s="21"/>
      <c r="AHH20" s="21"/>
      <c r="AHI20" s="21"/>
      <c r="AHJ20" s="21"/>
      <c r="AHK20" s="21"/>
      <c r="AHL20" s="21"/>
      <c r="AHM20" s="21"/>
      <c r="AHN20" s="21"/>
      <c r="AHO20" s="21"/>
      <c r="AHP20" s="21"/>
      <c r="AHQ20" s="21"/>
      <c r="AHR20" s="21"/>
      <c r="AHS20" s="21"/>
      <c r="AHT20" s="21"/>
      <c r="AHU20" s="21"/>
      <c r="AHV20" s="21"/>
      <c r="AHW20" s="21"/>
      <c r="AHX20" s="21"/>
      <c r="AHY20" s="21"/>
      <c r="AHZ20" s="21"/>
      <c r="AIA20" s="21"/>
      <c r="AIB20" s="21"/>
      <c r="AIC20" s="21"/>
      <c r="AID20" s="21"/>
      <c r="AIE20" s="21"/>
      <c r="AIF20" s="21"/>
      <c r="AIG20" s="21"/>
      <c r="AIH20" s="21"/>
      <c r="AII20" s="21"/>
      <c r="AIJ20" s="21"/>
      <c r="AIK20" s="21"/>
      <c r="AIL20" s="21"/>
      <c r="AIM20" s="21"/>
      <c r="AIN20" s="21"/>
      <c r="AIO20" s="21"/>
      <c r="AIP20" s="21"/>
      <c r="AIQ20" s="21"/>
      <c r="AIR20" s="21"/>
      <c r="AIS20" s="21"/>
      <c r="AIT20" s="21"/>
      <c r="AIU20" s="21"/>
      <c r="AIV20" s="21"/>
      <c r="AIW20" s="21"/>
      <c r="AIX20" s="21"/>
      <c r="AIY20" s="21"/>
      <c r="AIZ20" s="21"/>
      <c r="AJA20" s="21"/>
      <c r="AJB20" s="21"/>
      <c r="AJC20" s="21"/>
      <c r="AJD20" s="21"/>
      <c r="AJE20" s="21"/>
      <c r="AJF20" s="21"/>
      <c r="AJG20" s="21"/>
      <c r="AJH20" s="21"/>
      <c r="AJI20" s="21"/>
      <c r="AJJ20" s="21"/>
      <c r="AJK20" s="21"/>
      <c r="AJL20" s="21"/>
      <c r="AJM20" s="21"/>
      <c r="AJN20" s="21"/>
      <c r="AJO20" s="21"/>
      <c r="AJP20" s="21"/>
      <c r="AJQ20" s="21"/>
      <c r="AJR20" s="21"/>
      <c r="AJS20" s="21"/>
      <c r="AJT20" s="21"/>
      <c r="AJU20" s="21"/>
      <c r="AJV20" s="21"/>
      <c r="AJW20" s="21"/>
      <c r="AJX20" s="21"/>
      <c r="AJY20" s="21"/>
      <c r="AJZ20" s="21"/>
      <c r="AKA20" s="21"/>
      <c r="AKB20" s="21"/>
      <c r="AKC20" s="21"/>
      <c r="AKD20" s="21"/>
      <c r="AKE20" s="21"/>
      <c r="AKF20" s="21"/>
      <c r="AKG20" s="21"/>
      <c r="AKH20" s="21"/>
      <c r="AKI20" s="21"/>
      <c r="AKJ20" s="21"/>
      <c r="AKK20" s="21"/>
      <c r="AKL20" s="21"/>
      <c r="AKM20" s="21"/>
      <c r="AKN20" s="21"/>
      <c r="AKO20" s="21"/>
      <c r="AKP20" s="21"/>
      <c r="AKQ20" s="21"/>
      <c r="AKR20" s="21"/>
      <c r="AKS20" s="21"/>
      <c r="AKT20" s="21"/>
      <c r="AKU20" s="21"/>
      <c r="AKV20" s="21"/>
      <c r="AKW20" s="21"/>
      <c r="AKX20" s="21"/>
      <c r="AKY20" s="21"/>
      <c r="AKZ20" s="21"/>
      <c r="ALA20" s="21"/>
      <c r="ALB20" s="21"/>
      <c r="ALC20" s="21"/>
      <c r="ALD20" s="21"/>
      <c r="ALE20" s="21"/>
      <c r="ALF20" s="21"/>
      <c r="ALG20" s="21"/>
      <c r="ALH20" s="21"/>
      <c r="ALI20" s="21"/>
      <c r="ALJ20" s="21"/>
      <c r="ALK20" s="21"/>
      <c r="ALL20" s="21"/>
      <c r="ALM20" s="21"/>
      <c r="ALN20" s="21"/>
      <c r="ALO20" s="21"/>
      <c r="ALP20" s="21"/>
      <c r="ALQ20" s="21"/>
      <c r="ALR20" s="21"/>
      <c r="ALS20" s="21"/>
      <c r="ALT20" s="21"/>
      <c r="ALU20" s="21"/>
      <c r="ALV20" s="21"/>
      <c r="ALW20" s="21"/>
      <c r="ALX20" s="21"/>
      <c r="ALY20" s="21"/>
      <c r="ALZ20" s="21"/>
      <c r="AMA20" s="21"/>
      <c r="AMB20" s="21"/>
      <c r="AMC20" s="21"/>
      <c r="AMD20" s="21"/>
      <c r="AME20" s="21"/>
      <c r="AMF20" s="21"/>
      <c r="AMG20" s="21"/>
      <c r="AMH20" s="21"/>
      <c r="AMI20" s="21"/>
      <c r="AMJ20" s="21"/>
      <c r="AMK20" s="21"/>
      <c r="AML20" s="21"/>
      <c r="AMM20" s="21"/>
      <c r="AMN20" s="21"/>
      <c r="AMO20" s="21"/>
      <c r="AMP20" s="21"/>
      <c r="AMQ20" s="21"/>
      <c r="AMR20" s="21"/>
      <c r="AMS20" s="21"/>
      <c r="AMT20" s="21"/>
      <c r="AMU20" s="21"/>
      <c r="AMV20" s="21"/>
      <c r="AMW20" s="21"/>
      <c r="AMX20" s="21"/>
      <c r="AMY20" s="21"/>
      <c r="AMZ20" s="21"/>
      <c r="ANA20" s="21"/>
      <c r="ANB20" s="21"/>
      <c r="ANC20" s="21"/>
      <c r="AND20" s="21"/>
      <c r="ANE20" s="21"/>
      <c r="ANF20" s="21"/>
      <c r="ANG20" s="21"/>
      <c r="ANH20" s="21"/>
      <c r="ANI20" s="21"/>
      <c r="ANJ20" s="21"/>
      <c r="ANK20" s="21"/>
      <c r="ANL20" s="21"/>
      <c r="ANM20" s="21"/>
      <c r="ANN20" s="21"/>
      <c r="ANO20" s="21"/>
      <c r="ANP20" s="21"/>
      <c r="ANQ20" s="21"/>
      <c r="ANR20" s="21"/>
      <c r="ANS20" s="21"/>
      <c r="ANT20" s="21"/>
      <c r="ANU20" s="21"/>
      <c r="ANV20" s="21"/>
      <c r="ANW20" s="21"/>
      <c r="ANX20" s="21"/>
      <c r="ANY20" s="21"/>
      <c r="ANZ20" s="21"/>
      <c r="AOA20" s="21"/>
      <c r="AOB20" s="21"/>
      <c r="AOC20" s="21"/>
      <c r="AOD20" s="21"/>
      <c r="AOE20" s="21"/>
      <c r="AOF20" s="21"/>
      <c r="AOG20" s="21"/>
      <c r="AOH20" s="21"/>
      <c r="AOI20" s="21"/>
      <c r="AOJ20" s="21"/>
      <c r="AOK20" s="21"/>
      <c r="AOL20" s="21"/>
      <c r="AOM20" s="21"/>
      <c r="AON20" s="21"/>
      <c r="AOO20" s="21"/>
      <c r="AOP20" s="21"/>
      <c r="AOQ20" s="21"/>
      <c r="AOR20" s="21"/>
      <c r="AOS20" s="21"/>
      <c r="AOT20" s="21"/>
      <c r="AOU20" s="21"/>
      <c r="AOV20" s="21"/>
      <c r="AOW20" s="21"/>
      <c r="AOX20" s="21"/>
      <c r="AOY20" s="21"/>
      <c r="AOZ20" s="21"/>
      <c r="APA20" s="21"/>
      <c r="APB20" s="21"/>
      <c r="APC20" s="21"/>
      <c r="APD20" s="21"/>
      <c r="APE20" s="21"/>
      <c r="APF20" s="21"/>
      <c r="APG20" s="21"/>
      <c r="APH20" s="21"/>
      <c r="API20" s="21"/>
      <c r="APJ20" s="21"/>
      <c r="APK20" s="21"/>
      <c r="APL20" s="21"/>
      <c r="APM20" s="21"/>
      <c r="APN20" s="21"/>
      <c r="APO20" s="21"/>
      <c r="APP20" s="21"/>
      <c r="APQ20" s="21"/>
      <c r="APR20" s="21"/>
      <c r="APS20" s="21"/>
      <c r="APT20" s="21"/>
      <c r="APU20" s="21"/>
      <c r="APV20" s="21"/>
      <c r="APW20" s="21"/>
      <c r="APX20" s="21"/>
      <c r="APY20" s="21"/>
      <c r="APZ20" s="21"/>
      <c r="AQA20" s="21"/>
      <c r="AQB20" s="21"/>
      <c r="AQC20" s="21"/>
      <c r="AQD20" s="21"/>
      <c r="AQE20" s="21"/>
      <c r="AQF20" s="21"/>
      <c r="AQG20" s="21"/>
      <c r="AQH20" s="21"/>
      <c r="AQI20" s="21"/>
      <c r="AQJ20" s="21"/>
      <c r="AQK20" s="21"/>
      <c r="AQL20" s="21"/>
      <c r="AQM20" s="21"/>
      <c r="AQN20" s="21"/>
      <c r="AQO20" s="21"/>
      <c r="AQP20" s="21"/>
      <c r="AQQ20" s="21"/>
      <c r="AQR20" s="21"/>
      <c r="AQS20" s="21"/>
      <c r="AQT20" s="21"/>
      <c r="AQU20" s="21"/>
      <c r="AQV20" s="21"/>
      <c r="AQW20" s="21"/>
      <c r="AQX20" s="21"/>
      <c r="AQY20" s="21"/>
      <c r="AQZ20" s="21"/>
      <c r="ARA20" s="21"/>
      <c r="ARB20" s="21"/>
      <c r="ARC20" s="21"/>
      <c r="ARD20" s="21"/>
      <c r="ARE20" s="21"/>
      <c r="ARF20" s="21"/>
      <c r="ARG20" s="21"/>
      <c r="ARH20" s="21"/>
      <c r="ARI20" s="21"/>
      <c r="ARJ20" s="21"/>
      <c r="ARK20" s="21"/>
      <c r="ARL20" s="21"/>
      <c r="ARM20" s="21"/>
      <c r="ARN20" s="21"/>
      <c r="ARO20" s="21"/>
      <c r="ARP20" s="21"/>
      <c r="ARQ20" s="21"/>
      <c r="ARR20" s="21"/>
      <c r="ARS20" s="21"/>
      <c r="ART20" s="21"/>
      <c r="ARU20" s="21"/>
      <c r="ARV20" s="21"/>
      <c r="ARW20" s="21"/>
      <c r="ARX20" s="21"/>
      <c r="ARY20" s="21"/>
      <c r="ARZ20" s="21"/>
      <c r="ASA20" s="21"/>
      <c r="ASB20" s="21"/>
      <c r="ASC20" s="21"/>
      <c r="ASD20" s="21"/>
      <c r="ASE20" s="21"/>
      <c r="ASF20" s="21"/>
      <c r="ASG20" s="21"/>
      <c r="ASH20" s="21"/>
      <c r="ASI20" s="21"/>
      <c r="ASJ20" s="21"/>
      <c r="ASK20" s="21"/>
      <c r="ASL20" s="21"/>
      <c r="ASM20" s="21"/>
      <c r="ASN20" s="21"/>
      <c r="ASO20" s="21"/>
      <c r="ASP20" s="21"/>
      <c r="ASQ20" s="21"/>
      <c r="ASR20" s="21"/>
      <c r="ASS20" s="21"/>
      <c r="AST20" s="21"/>
      <c r="ASU20" s="21"/>
      <c r="ASV20" s="21"/>
      <c r="ASW20" s="21"/>
      <c r="ASX20" s="21"/>
      <c r="ASY20" s="21"/>
      <c r="ASZ20" s="21"/>
      <c r="ATA20" s="21"/>
      <c r="ATB20" s="21"/>
      <c r="ATC20" s="21"/>
      <c r="ATD20" s="21"/>
      <c r="ATE20" s="21"/>
      <c r="ATF20" s="21"/>
      <c r="ATG20" s="21"/>
      <c r="ATH20" s="21"/>
      <c r="ATI20" s="21"/>
      <c r="ATJ20" s="21"/>
      <c r="ATK20" s="21"/>
      <c r="ATL20" s="21"/>
      <c r="ATM20" s="21"/>
      <c r="ATN20" s="21"/>
      <c r="ATO20" s="21"/>
      <c r="ATP20" s="21"/>
      <c r="ATQ20" s="21"/>
      <c r="ATR20" s="21"/>
      <c r="ATS20" s="21"/>
      <c r="ATT20" s="21"/>
      <c r="ATU20" s="21"/>
      <c r="ATV20" s="21"/>
      <c r="ATW20" s="21"/>
      <c r="ATX20" s="21"/>
      <c r="ATY20" s="21"/>
      <c r="ATZ20" s="21"/>
      <c r="AUA20" s="21"/>
      <c r="AUB20" s="21"/>
      <c r="AUC20" s="21"/>
      <c r="AUD20" s="21"/>
      <c r="AUE20" s="21"/>
      <c r="AUF20" s="21"/>
      <c r="AUG20" s="21"/>
      <c r="AUH20" s="21"/>
      <c r="AUI20" s="21"/>
      <c r="AUJ20" s="21"/>
      <c r="AUK20" s="21"/>
      <c r="AUL20" s="21"/>
      <c r="AUM20" s="21"/>
      <c r="AUN20" s="21"/>
      <c r="AUO20" s="21"/>
      <c r="AUP20" s="21"/>
      <c r="AUQ20" s="21"/>
      <c r="AUR20" s="21"/>
      <c r="AUS20" s="21"/>
      <c r="AUT20" s="21"/>
      <c r="AUU20" s="21"/>
      <c r="AUV20" s="21"/>
      <c r="AUW20" s="21"/>
      <c r="AUX20" s="21"/>
      <c r="AUY20" s="21"/>
      <c r="AUZ20" s="21"/>
      <c r="AVA20" s="21"/>
      <c r="AVB20" s="21"/>
      <c r="AVC20" s="21"/>
      <c r="AVD20" s="21"/>
      <c r="AVE20" s="21"/>
      <c r="AVF20" s="21"/>
      <c r="AVG20" s="21"/>
      <c r="AVH20" s="21"/>
      <c r="AVI20" s="21"/>
      <c r="AVJ20" s="21"/>
      <c r="AVK20" s="21"/>
      <c r="AVL20" s="21"/>
      <c r="AVM20" s="21"/>
      <c r="AVN20" s="21"/>
      <c r="AVO20" s="21"/>
      <c r="AVP20" s="21"/>
      <c r="AVQ20" s="21"/>
      <c r="AVR20" s="21"/>
      <c r="AVS20" s="21"/>
      <c r="AVT20" s="21"/>
      <c r="AVU20" s="21"/>
      <c r="AVV20" s="21"/>
      <c r="AVW20" s="21"/>
      <c r="AVX20" s="21"/>
      <c r="AVY20" s="21"/>
      <c r="AVZ20" s="21"/>
      <c r="AWA20" s="21"/>
      <c r="AWB20" s="21"/>
      <c r="AWC20" s="21"/>
      <c r="AWD20" s="21"/>
      <c r="AWE20" s="21"/>
      <c r="AWF20" s="21"/>
      <c r="AWG20" s="21"/>
      <c r="AWH20" s="21"/>
      <c r="AWI20" s="21"/>
      <c r="AWJ20" s="21"/>
      <c r="AWK20" s="21"/>
      <c r="AWL20" s="21"/>
      <c r="AWM20" s="21"/>
      <c r="AWN20" s="21"/>
      <c r="AWO20" s="21"/>
      <c r="AWP20" s="21"/>
      <c r="AWQ20" s="21"/>
      <c r="AWR20" s="21"/>
      <c r="AWS20" s="21"/>
      <c r="AWT20" s="21"/>
      <c r="AWU20" s="21"/>
      <c r="AWV20" s="21"/>
      <c r="AWW20" s="21"/>
      <c r="AWX20" s="21"/>
      <c r="AWY20" s="21"/>
      <c r="AWZ20" s="21"/>
      <c r="AXA20" s="21"/>
      <c r="AXB20" s="21"/>
      <c r="AXC20" s="21"/>
      <c r="AXD20" s="21"/>
      <c r="AXE20" s="21"/>
      <c r="AXF20" s="21"/>
      <c r="AXG20" s="21"/>
      <c r="AXH20" s="21"/>
      <c r="AXI20" s="21"/>
      <c r="AXJ20" s="21"/>
      <c r="AXK20" s="21"/>
      <c r="AXL20" s="21"/>
      <c r="AXM20" s="21"/>
      <c r="AXN20" s="21"/>
      <c r="AXO20" s="21"/>
      <c r="AXP20" s="21"/>
      <c r="AXQ20" s="21"/>
      <c r="AXR20" s="21"/>
      <c r="AXS20" s="21"/>
      <c r="AXT20" s="21"/>
      <c r="AXU20" s="21"/>
      <c r="AXV20" s="21"/>
      <c r="AXW20" s="21"/>
      <c r="AXX20" s="21"/>
      <c r="AXY20" s="21"/>
      <c r="AXZ20" s="21"/>
      <c r="AYA20" s="21"/>
      <c r="AYB20" s="21"/>
      <c r="AYC20" s="21"/>
      <c r="AYD20" s="21"/>
      <c r="AYE20" s="21"/>
      <c r="AYF20" s="21"/>
      <c r="AYG20" s="21"/>
      <c r="AYH20" s="21"/>
      <c r="AYI20" s="21"/>
      <c r="AYJ20" s="21"/>
      <c r="AYK20" s="21"/>
      <c r="AYL20" s="21"/>
      <c r="AYM20" s="21"/>
      <c r="AYN20" s="21"/>
      <c r="AYO20" s="21"/>
      <c r="AYP20" s="21"/>
      <c r="AYQ20" s="21"/>
      <c r="AYR20" s="21"/>
      <c r="AYS20" s="21"/>
      <c r="AYT20" s="21"/>
      <c r="AYU20" s="21"/>
      <c r="AYV20" s="21"/>
      <c r="AYW20" s="21"/>
      <c r="AYX20" s="21"/>
      <c r="AYY20" s="21"/>
      <c r="AYZ20" s="21"/>
      <c r="AZA20" s="21"/>
      <c r="AZB20" s="21"/>
      <c r="AZC20" s="21"/>
      <c r="AZD20" s="21"/>
      <c r="AZE20" s="21"/>
      <c r="AZF20" s="21"/>
      <c r="AZG20" s="21"/>
      <c r="AZH20" s="21"/>
      <c r="AZI20" s="21"/>
      <c r="AZJ20" s="21"/>
      <c r="AZK20" s="21"/>
      <c r="AZL20" s="21"/>
      <c r="AZM20" s="21"/>
      <c r="AZN20" s="21"/>
      <c r="AZO20" s="21"/>
      <c r="AZP20" s="21"/>
      <c r="AZQ20" s="21"/>
      <c r="AZR20" s="21"/>
      <c r="AZS20" s="21"/>
      <c r="AZT20" s="21"/>
      <c r="AZU20" s="21"/>
      <c r="AZV20" s="21"/>
      <c r="AZW20" s="21"/>
      <c r="AZX20" s="21"/>
      <c r="AZY20" s="21"/>
      <c r="AZZ20" s="21"/>
      <c r="BAA20" s="21"/>
      <c r="BAB20" s="21"/>
      <c r="BAC20" s="21"/>
      <c r="BAD20" s="21"/>
      <c r="BAE20" s="21"/>
      <c r="BAF20" s="21"/>
      <c r="BAG20" s="21"/>
      <c r="BAH20" s="21"/>
      <c r="BAI20" s="21"/>
      <c r="BAJ20" s="21"/>
      <c r="BAK20" s="21"/>
      <c r="BAL20" s="21"/>
      <c r="BAM20" s="21"/>
      <c r="BAN20" s="21"/>
      <c r="BAO20" s="21"/>
      <c r="BAP20" s="21"/>
      <c r="BAQ20" s="21"/>
      <c r="BAR20" s="21"/>
      <c r="BAS20" s="21"/>
      <c r="BAT20" s="21"/>
      <c r="BAU20" s="21"/>
      <c r="BAV20" s="21"/>
      <c r="BAW20" s="21"/>
      <c r="BAX20" s="21"/>
      <c r="BAY20" s="21"/>
      <c r="BAZ20" s="21"/>
      <c r="BBA20" s="21"/>
      <c r="BBB20" s="21"/>
      <c r="BBC20" s="21"/>
      <c r="BBD20" s="21"/>
      <c r="BBE20" s="21"/>
      <c r="BBF20" s="21"/>
      <c r="BBG20" s="21"/>
      <c r="BBH20" s="21"/>
      <c r="BBI20" s="21"/>
      <c r="BBJ20" s="21"/>
      <c r="BBK20" s="21"/>
      <c r="BBL20" s="21"/>
      <c r="BBM20" s="21"/>
      <c r="BBN20" s="21"/>
      <c r="BBO20" s="21"/>
      <c r="BBP20" s="21"/>
      <c r="BBQ20" s="21"/>
      <c r="BBR20" s="21"/>
      <c r="BBS20" s="21"/>
      <c r="BBT20" s="21"/>
      <c r="BBU20" s="21"/>
      <c r="BBV20" s="21"/>
      <c r="BBW20" s="21"/>
      <c r="BBX20" s="21"/>
      <c r="BBY20" s="21"/>
      <c r="BBZ20" s="21"/>
      <c r="BCA20" s="21"/>
      <c r="BCB20" s="21"/>
      <c r="BCC20" s="21"/>
      <c r="BCD20" s="21"/>
      <c r="BCE20" s="21"/>
      <c r="BCF20" s="21"/>
      <c r="BCG20" s="21"/>
      <c r="BCH20" s="21"/>
      <c r="BCI20" s="21"/>
      <c r="BCJ20" s="21"/>
      <c r="BCK20" s="21"/>
      <c r="BCL20" s="21"/>
      <c r="BCM20" s="21"/>
      <c r="BCN20" s="21"/>
      <c r="BCO20" s="21"/>
      <c r="BCP20" s="21"/>
      <c r="BCQ20" s="21"/>
      <c r="BCR20" s="21"/>
      <c r="BCS20" s="21"/>
      <c r="BCT20" s="21"/>
      <c r="BCU20" s="21"/>
      <c r="BCV20" s="21"/>
      <c r="BCW20" s="21"/>
      <c r="BCX20" s="21"/>
      <c r="BCY20" s="21"/>
      <c r="BCZ20" s="21"/>
      <c r="BDA20" s="21"/>
      <c r="BDB20" s="21"/>
      <c r="BDC20" s="21"/>
      <c r="BDD20" s="21"/>
      <c r="BDE20" s="21"/>
      <c r="BDF20" s="21"/>
      <c r="BDG20" s="21"/>
      <c r="BDH20" s="21"/>
      <c r="BDI20" s="21"/>
      <c r="BDJ20" s="21"/>
      <c r="BDK20" s="21"/>
      <c r="BDL20" s="21"/>
      <c r="BDM20" s="21"/>
      <c r="BDN20" s="21"/>
      <c r="BDO20" s="21"/>
      <c r="BDP20" s="21"/>
      <c r="BDQ20" s="21"/>
      <c r="BDR20" s="21"/>
      <c r="BDS20" s="21"/>
      <c r="BDT20" s="21"/>
      <c r="BDU20" s="21"/>
      <c r="BDV20" s="21"/>
      <c r="BDW20" s="21"/>
      <c r="BDX20" s="21"/>
      <c r="BDY20" s="21"/>
      <c r="BDZ20" s="21"/>
      <c r="BEA20" s="21"/>
      <c r="BEB20" s="21"/>
      <c r="BEC20" s="21"/>
      <c r="BED20" s="21"/>
      <c r="BEE20" s="21"/>
      <c r="BEF20" s="21"/>
      <c r="BEG20" s="21"/>
      <c r="BEH20" s="21"/>
      <c r="BEI20" s="21"/>
      <c r="BEJ20" s="21"/>
      <c r="BEK20" s="21"/>
      <c r="BEL20" s="21"/>
      <c r="BEM20" s="21"/>
      <c r="BEN20" s="21"/>
      <c r="BEO20" s="21"/>
      <c r="BEP20" s="21"/>
      <c r="BEQ20" s="21"/>
      <c r="BER20" s="21"/>
      <c r="BES20" s="21"/>
      <c r="BET20" s="21"/>
      <c r="BEU20" s="21"/>
      <c r="BEV20" s="21"/>
      <c r="BEW20" s="21"/>
      <c r="BEX20" s="21"/>
      <c r="BEY20" s="21"/>
      <c r="BEZ20" s="21"/>
      <c r="BFA20" s="21"/>
      <c r="BFB20" s="21"/>
      <c r="BFC20" s="21"/>
      <c r="BFD20" s="21"/>
      <c r="BFE20" s="21"/>
      <c r="BFF20" s="21"/>
      <c r="BFG20" s="21"/>
      <c r="BFH20" s="21"/>
      <c r="BFI20" s="21"/>
      <c r="BFJ20" s="21"/>
      <c r="BFK20" s="21"/>
      <c r="BFL20" s="21"/>
      <c r="BFM20" s="21"/>
      <c r="BFN20" s="21"/>
      <c r="BFO20" s="21"/>
      <c r="BFP20" s="21"/>
      <c r="BFQ20" s="21"/>
      <c r="BFR20" s="21"/>
      <c r="BFS20" s="21"/>
      <c r="BFT20" s="21"/>
      <c r="BFU20" s="21"/>
      <c r="BFV20" s="21"/>
      <c r="BFW20" s="21"/>
      <c r="BFX20" s="21"/>
      <c r="BFY20" s="21"/>
      <c r="BFZ20" s="21"/>
      <c r="BGA20" s="21"/>
      <c r="BGB20" s="21"/>
      <c r="BGC20" s="21"/>
      <c r="BGD20" s="21"/>
      <c r="BGE20" s="21"/>
      <c r="BGF20" s="21"/>
      <c r="BGG20" s="21"/>
      <c r="BGH20" s="21"/>
      <c r="BGI20" s="21"/>
      <c r="BGJ20" s="21"/>
      <c r="BGK20" s="21"/>
      <c r="BGL20" s="21"/>
      <c r="BGM20" s="21"/>
      <c r="BGN20" s="21"/>
      <c r="BGO20" s="21"/>
      <c r="BGP20" s="21"/>
      <c r="BGQ20" s="21"/>
      <c r="BGR20" s="21"/>
      <c r="BGS20" s="21"/>
      <c r="BGT20" s="21"/>
      <c r="BGU20" s="21"/>
      <c r="BGV20" s="21"/>
      <c r="BGW20" s="21"/>
      <c r="BGX20" s="21"/>
      <c r="BGY20" s="21"/>
      <c r="BGZ20" s="21"/>
      <c r="BHA20" s="21"/>
      <c r="BHB20" s="21"/>
      <c r="BHC20" s="21"/>
      <c r="BHD20" s="21"/>
      <c r="BHE20" s="21"/>
      <c r="BHF20" s="21"/>
      <c r="BHG20" s="21"/>
      <c r="BHH20" s="21"/>
      <c r="BHI20" s="21"/>
      <c r="BHJ20" s="21"/>
      <c r="BHK20" s="21"/>
      <c r="BHL20" s="21"/>
      <c r="BHM20" s="21"/>
      <c r="BHN20" s="21"/>
      <c r="BHO20" s="21"/>
      <c r="BHP20" s="21"/>
      <c r="BHQ20" s="21"/>
      <c r="BHR20" s="21"/>
      <c r="BHS20" s="21"/>
      <c r="BHT20" s="21"/>
      <c r="BHU20" s="21"/>
      <c r="BHV20" s="21"/>
      <c r="BHW20" s="21"/>
      <c r="BHX20" s="21"/>
      <c r="BHY20" s="21"/>
      <c r="BHZ20" s="21"/>
      <c r="BIA20" s="21"/>
      <c r="BIB20" s="21"/>
      <c r="BIC20" s="21"/>
      <c r="BID20" s="21"/>
      <c r="BIE20" s="21"/>
      <c r="BIF20" s="21"/>
      <c r="BIG20" s="21"/>
      <c r="BIH20" s="21"/>
      <c r="BII20" s="21"/>
      <c r="BIJ20" s="21"/>
      <c r="BIK20" s="21"/>
      <c r="BIL20" s="21"/>
      <c r="BIM20" s="21"/>
      <c r="BIN20" s="21"/>
      <c r="BIO20" s="21"/>
      <c r="BIP20" s="21"/>
      <c r="BIQ20" s="21"/>
      <c r="BIR20" s="21"/>
      <c r="BIS20" s="21"/>
      <c r="BIT20" s="21"/>
      <c r="BIU20" s="21"/>
      <c r="BIV20" s="21"/>
      <c r="BIW20" s="21"/>
      <c r="BIX20" s="21"/>
      <c r="BIY20" s="21"/>
      <c r="BIZ20" s="21"/>
      <c r="BJA20" s="21"/>
      <c r="BJB20" s="21"/>
      <c r="BJC20" s="21"/>
      <c r="BJD20" s="21"/>
      <c r="BJE20" s="21"/>
      <c r="BJF20" s="21"/>
      <c r="BJG20" s="21"/>
      <c r="BJH20" s="21"/>
      <c r="BJI20" s="21"/>
      <c r="BJJ20" s="21"/>
      <c r="BJK20" s="21"/>
      <c r="BJL20" s="21"/>
      <c r="BJM20" s="21"/>
      <c r="BJN20" s="21"/>
      <c r="BJO20" s="21"/>
      <c r="BJP20" s="21"/>
      <c r="BJQ20" s="21"/>
      <c r="BJR20" s="21"/>
      <c r="BJS20" s="21"/>
      <c r="BJT20" s="21"/>
      <c r="BJU20" s="21"/>
      <c r="BJV20" s="21"/>
      <c r="BJW20" s="21"/>
      <c r="BJX20" s="21"/>
      <c r="BJY20" s="21"/>
      <c r="BJZ20" s="21"/>
      <c r="BKA20" s="21"/>
      <c r="BKB20" s="21"/>
      <c r="BKC20" s="21"/>
      <c r="BKD20" s="21"/>
      <c r="BKE20" s="21"/>
      <c r="BKF20" s="21"/>
      <c r="BKG20" s="21"/>
      <c r="BKH20" s="21"/>
      <c r="BKI20" s="21"/>
      <c r="BKJ20" s="21"/>
      <c r="BKK20" s="21"/>
      <c r="BKL20" s="21"/>
      <c r="BKM20" s="21"/>
      <c r="BKN20" s="21"/>
      <c r="BKO20" s="21"/>
      <c r="BKP20" s="21"/>
      <c r="BKQ20" s="21"/>
      <c r="BKR20" s="21"/>
      <c r="BKS20" s="21"/>
      <c r="BKT20" s="21"/>
      <c r="BKU20" s="21"/>
      <c r="BKV20" s="21"/>
      <c r="BKW20" s="21"/>
      <c r="BKX20" s="21"/>
      <c r="BKY20" s="21"/>
      <c r="BKZ20" s="21"/>
      <c r="BLA20" s="21"/>
      <c r="BLB20" s="21"/>
      <c r="BLC20" s="21"/>
      <c r="BLD20" s="21"/>
      <c r="BLE20" s="21"/>
      <c r="BLF20" s="21"/>
      <c r="BLG20" s="21"/>
      <c r="BLH20" s="21"/>
      <c r="BLI20" s="21"/>
      <c r="BLJ20" s="21"/>
      <c r="BLK20" s="21"/>
      <c r="BLL20" s="21"/>
      <c r="BLM20" s="21"/>
      <c r="BLN20" s="21"/>
      <c r="BLO20" s="21"/>
      <c r="BLP20" s="21"/>
      <c r="BLQ20" s="21"/>
      <c r="BLR20" s="21"/>
      <c r="BLS20" s="21"/>
      <c r="BLT20" s="21"/>
      <c r="BLU20" s="21"/>
      <c r="BLV20" s="21"/>
      <c r="BLW20" s="21"/>
      <c r="BLX20" s="21"/>
      <c r="BLY20" s="21"/>
      <c r="BLZ20" s="21"/>
      <c r="BMA20" s="21"/>
      <c r="BMB20" s="21"/>
      <c r="BMC20" s="21"/>
      <c r="BMD20" s="21"/>
      <c r="BME20" s="21"/>
      <c r="BMF20" s="21"/>
      <c r="BMG20" s="21"/>
      <c r="BMH20" s="21"/>
      <c r="BMI20" s="21"/>
      <c r="BMJ20" s="21"/>
      <c r="BMK20" s="21"/>
      <c r="BML20" s="21"/>
      <c r="BMM20" s="21"/>
      <c r="BMN20" s="21"/>
      <c r="BMO20" s="21"/>
      <c r="BMP20" s="21"/>
      <c r="BMQ20" s="21"/>
      <c r="BMR20" s="21"/>
      <c r="BMS20" s="21"/>
      <c r="BMT20" s="21"/>
      <c r="BMU20" s="21"/>
      <c r="BMV20" s="21"/>
      <c r="BMW20" s="21"/>
      <c r="BMX20" s="21"/>
      <c r="BMY20" s="21"/>
      <c r="BMZ20" s="21"/>
      <c r="BNA20" s="21"/>
      <c r="BNB20" s="21"/>
      <c r="BNC20" s="21"/>
      <c r="BND20" s="21"/>
      <c r="BNE20" s="21"/>
      <c r="BNF20" s="21"/>
      <c r="BNG20" s="21"/>
      <c r="BNH20" s="21"/>
      <c r="BNI20" s="21"/>
      <c r="BNJ20" s="21"/>
      <c r="BNK20" s="21"/>
      <c r="BNL20" s="21"/>
      <c r="BNM20" s="21"/>
      <c r="BNN20" s="21"/>
      <c r="BNO20" s="21"/>
      <c r="BNP20" s="21"/>
      <c r="BNQ20" s="21"/>
      <c r="BNR20" s="21"/>
      <c r="BNS20" s="21"/>
      <c r="BNT20" s="21"/>
      <c r="BNU20" s="21"/>
      <c r="BNV20" s="21"/>
      <c r="BNW20" s="21"/>
      <c r="BNX20" s="21"/>
      <c r="BNY20" s="21"/>
      <c r="BNZ20" s="21"/>
      <c r="BOA20" s="21"/>
      <c r="BOB20" s="21"/>
      <c r="BOC20" s="21"/>
      <c r="BOD20" s="21"/>
      <c r="BOE20" s="21"/>
      <c r="BOF20" s="21"/>
      <c r="BOG20" s="21"/>
      <c r="BOH20" s="21"/>
      <c r="BOI20" s="21"/>
      <c r="BOJ20" s="21"/>
      <c r="BOK20" s="21"/>
      <c r="BOL20" s="21"/>
      <c r="BOM20" s="21"/>
      <c r="BON20" s="21"/>
      <c r="BOO20" s="21"/>
      <c r="BOP20" s="21"/>
      <c r="BOQ20" s="21"/>
      <c r="BOR20" s="21"/>
      <c r="BOS20" s="21"/>
      <c r="BOT20" s="21"/>
      <c r="BOU20" s="21"/>
      <c r="BOV20" s="21"/>
      <c r="BOW20" s="21"/>
      <c r="BOX20" s="21"/>
      <c r="BOY20" s="21"/>
      <c r="BOZ20" s="21"/>
      <c r="BPA20" s="21"/>
      <c r="BPB20" s="21"/>
      <c r="BPC20" s="21"/>
      <c r="BPD20" s="21"/>
      <c r="BPE20" s="21"/>
      <c r="BPF20" s="21"/>
      <c r="BPG20" s="21"/>
      <c r="BPH20" s="21"/>
      <c r="BPI20" s="21"/>
      <c r="BPJ20" s="21"/>
      <c r="BPK20" s="21"/>
      <c r="BPL20" s="21"/>
      <c r="BPM20" s="21"/>
      <c r="BPN20" s="21"/>
      <c r="BPO20" s="21"/>
      <c r="BPP20" s="21"/>
      <c r="BPQ20" s="21"/>
      <c r="BPR20" s="21"/>
      <c r="BPS20" s="21"/>
      <c r="BPT20" s="21"/>
      <c r="BPU20" s="21"/>
      <c r="BPV20" s="21"/>
      <c r="BPW20" s="21"/>
      <c r="BPX20" s="21"/>
      <c r="BPY20" s="21"/>
      <c r="BPZ20" s="21"/>
      <c r="BQA20" s="21"/>
      <c r="BQB20" s="21"/>
      <c r="BQC20" s="21"/>
      <c r="BQD20" s="21"/>
      <c r="BQE20" s="21"/>
      <c r="BQF20" s="21"/>
      <c r="BQG20" s="21"/>
      <c r="BQH20" s="21"/>
      <c r="BQI20" s="21"/>
      <c r="BQJ20" s="21"/>
      <c r="BQK20" s="21"/>
      <c r="BQL20" s="21"/>
      <c r="BQM20" s="21"/>
      <c r="BQN20" s="21"/>
      <c r="BQO20" s="21"/>
      <c r="BQP20" s="21"/>
      <c r="BQQ20" s="21"/>
      <c r="BQR20" s="21"/>
      <c r="BQS20" s="21"/>
      <c r="BQT20" s="21"/>
      <c r="BQU20" s="21"/>
      <c r="BQV20" s="21"/>
      <c r="BQW20" s="21"/>
      <c r="BQX20" s="21"/>
      <c r="BQY20" s="21"/>
      <c r="BQZ20" s="21"/>
      <c r="BRA20" s="21"/>
      <c r="BRB20" s="21"/>
      <c r="BRC20" s="21"/>
      <c r="BRD20" s="21"/>
      <c r="BRE20" s="21"/>
      <c r="BRF20" s="21"/>
      <c r="BRG20" s="21"/>
      <c r="BRH20" s="21"/>
      <c r="BRI20" s="21"/>
      <c r="BRJ20" s="21"/>
      <c r="BRK20" s="21"/>
      <c r="BRL20" s="21"/>
      <c r="BRM20" s="21"/>
      <c r="BRN20" s="21"/>
      <c r="BRO20" s="21"/>
      <c r="BRP20" s="21"/>
      <c r="BRQ20" s="21"/>
      <c r="BRR20" s="21"/>
      <c r="BRS20" s="21"/>
      <c r="BRT20" s="21"/>
      <c r="BRU20" s="21"/>
      <c r="BRV20" s="21"/>
      <c r="BRW20" s="21"/>
      <c r="BRX20" s="21"/>
      <c r="BRY20" s="21"/>
      <c r="BRZ20" s="21"/>
      <c r="BSA20" s="21"/>
      <c r="BSB20" s="21"/>
      <c r="BSC20" s="21"/>
      <c r="BSD20" s="21"/>
      <c r="BSE20" s="21"/>
      <c r="BSF20" s="21"/>
      <c r="BSG20" s="21"/>
      <c r="BSH20" s="21"/>
      <c r="BSI20" s="21"/>
      <c r="BSJ20" s="21"/>
      <c r="BSK20" s="21"/>
      <c r="BSL20" s="21"/>
      <c r="BSM20" s="21"/>
      <c r="BSN20" s="21"/>
      <c r="BSO20" s="21"/>
      <c r="BSP20" s="21"/>
      <c r="BSQ20" s="21"/>
      <c r="BSR20" s="21"/>
      <c r="BSS20" s="21"/>
      <c r="BST20" s="21"/>
      <c r="BSU20" s="21"/>
      <c r="BSV20" s="21"/>
      <c r="BSW20" s="21"/>
      <c r="BSX20" s="21"/>
      <c r="BSY20" s="21"/>
      <c r="BSZ20" s="21"/>
      <c r="BTA20" s="21"/>
      <c r="BTB20" s="21"/>
      <c r="BTC20" s="21"/>
      <c r="BTD20" s="21"/>
      <c r="BTE20" s="21"/>
      <c r="BTF20" s="21"/>
      <c r="BTG20" s="21"/>
      <c r="BTH20" s="21"/>
      <c r="BTI20" s="21"/>
      <c r="BTJ20" s="21"/>
      <c r="BTK20" s="21"/>
      <c r="BTL20" s="21"/>
      <c r="BTM20" s="21"/>
      <c r="BTN20" s="21"/>
      <c r="BTO20" s="21"/>
      <c r="BTP20" s="21"/>
      <c r="BTQ20" s="21"/>
      <c r="BTR20" s="21"/>
      <c r="BTS20" s="21"/>
      <c r="BTT20" s="21"/>
      <c r="BTU20" s="21"/>
      <c r="BTV20" s="21"/>
      <c r="BTW20" s="21"/>
      <c r="BTX20" s="21"/>
      <c r="BTY20" s="21"/>
      <c r="BTZ20" s="21"/>
      <c r="BUA20" s="21"/>
      <c r="BUB20" s="21"/>
      <c r="BUC20" s="21"/>
      <c r="BUD20" s="21"/>
      <c r="BUE20" s="21"/>
      <c r="BUF20" s="21"/>
      <c r="BUG20" s="21"/>
      <c r="BUH20" s="21"/>
      <c r="BUI20" s="21"/>
      <c r="BUJ20" s="21"/>
      <c r="BUK20" s="21"/>
      <c r="BUL20" s="21"/>
      <c r="BUM20" s="21"/>
      <c r="BUN20" s="21"/>
      <c r="BUO20" s="21"/>
      <c r="BUP20" s="21"/>
      <c r="BUQ20" s="21"/>
      <c r="BUR20" s="21"/>
      <c r="BUS20" s="21"/>
      <c r="BUT20" s="21"/>
      <c r="BUU20" s="21"/>
      <c r="BUV20" s="21"/>
      <c r="BUW20" s="21"/>
      <c r="BUX20" s="21"/>
      <c r="BUY20" s="21"/>
      <c r="BUZ20" s="21"/>
      <c r="BVA20" s="21"/>
      <c r="BVB20" s="21"/>
      <c r="BVC20" s="21"/>
      <c r="BVD20" s="21"/>
      <c r="BVE20" s="21"/>
      <c r="BVF20" s="21"/>
      <c r="BVG20" s="21"/>
      <c r="BVH20" s="21"/>
      <c r="BVI20" s="21"/>
      <c r="BVJ20" s="21"/>
      <c r="BVK20" s="21"/>
      <c r="BVL20" s="21"/>
      <c r="BVM20" s="21"/>
      <c r="BVN20" s="21"/>
      <c r="BVO20" s="21"/>
      <c r="BVP20" s="21"/>
      <c r="BVQ20" s="21"/>
      <c r="BVR20" s="21"/>
      <c r="BVS20" s="21"/>
      <c r="BVT20" s="21"/>
      <c r="BVU20" s="21"/>
      <c r="BVV20" s="21"/>
      <c r="BVW20" s="21"/>
      <c r="BVX20" s="21"/>
      <c r="BVY20" s="21"/>
      <c r="BVZ20" s="21"/>
      <c r="BWA20" s="21"/>
      <c r="BWB20" s="21"/>
      <c r="BWC20" s="21"/>
      <c r="BWD20" s="21"/>
      <c r="BWE20" s="21"/>
      <c r="BWF20" s="21"/>
      <c r="BWG20" s="21"/>
      <c r="BWH20" s="21"/>
      <c r="BWI20" s="21"/>
      <c r="BWJ20" s="21"/>
      <c r="BWK20" s="21"/>
      <c r="BWL20" s="21"/>
      <c r="BWM20" s="21"/>
      <c r="BWN20" s="21"/>
      <c r="BWO20" s="21"/>
      <c r="BWP20" s="21"/>
      <c r="BWQ20" s="21"/>
      <c r="BWR20" s="21"/>
      <c r="BWS20" s="21"/>
      <c r="BWT20" s="21"/>
      <c r="BWU20" s="21"/>
      <c r="BWV20" s="21"/>
      <c r="BWW20" s="21"/>
      <c r="BWX20" s="21"/>
      <c r="BWY20" s="21"/>
      <c r="BWZ20" s="21"/>
      <c r="BXA20" s="21"/>
      <c r="BXB20" s="21"/>
      <c r="BXC20" s="21"/>
      <c r="BXD20" s="21"/>
      <c r="BXE20" s="21"/>
      <c r="BXF20" s="21"/>
      <c r="BXG20" s="21"/>
      <c r="BXH20" s="21"/>
      <c r="BXI20" s="21"/>
      <c r="BXJ20" s="21"/>
      <c r="BXK20" s="21"/>
      <c r="BXL20" s="21"/>
      <c r="BXM20" s="21"/>
      <c r="BXN20" s="21"/>
      <c r="BXO20" s="21"/>
      <c r="BXP20" s="21"/>
      <c r="BXQ20" s="21"/>
      <c r="BXR20" s="21"/>
      <c r="BXS20" s="21"/>
      <c r="BXT20" s="21"/>
      <c r="BXU20" s="21"/>
      <c r="BXV20" s="21"/>
      <c r="BXW20" s="21"/>
      <c r="BXX20" s="21"/>
      <c r="BXY20" s="21"/>
      <c r="BXZ20" s="21"/>
      <c r="BYA20" s="21"/>
      <c r="BYB20" s="21"/>
      <c r="BYC20" s="21"/>
      <c r="BYD20" s="21"/>
      <c r="BYE20" s="21"/>
      <c r="BYF20" s="21"/>
      <c r="BYG20" s="21"/>
      <c r="BYH20" s="21"/>
      <c r="BYI20" s="21"/>
      <c r="BYJ20" s="21"/>
      <c r="BYK20" s="21"/>
      <c r="BYL20" s="21"/>
      <c r="BYM20" s="21"/>
      <c r="BYN20" s="21"/>
      <c r="BYO20" s="21"/>
      <c r="BYP20" s="21"/>
      <c r="BYQ20" s="21"/>
      <c r="BYR20" s="21"/>
      <c r="BYS20" s="21"/>
      <c r="BYT20" s="21"/>
      <c r="BYU20" s="21"/>
      <c r="BYV20" s="21"/>
      <c r="BYW20" s="21"/>
      <c r="BYX20" s="21"/>
      <c r="BYY20" s="21"/>
      <c r="BYZ20" s="21"/>
      <c r="BZA20" s="21"/>
      <c r="BZB20" s="21"/>
      <c r="BZC20" s="21"/>
      <c r="BZD20" s="21"/>
      <c r="BZE20" s="21"/>
      <c r="BZF20" s="21"/>
      <c r="BZG20" s="21"/>
      <c r="BZH20" s="21"/>
      <c r="BZI20" s="21"/>
      <c r="BZJ20" s="21"/>
      <c r="BZK20" s="21"/>
      <c r="BZL20" s="21"/>
      <c r="BZM20" s="21"/>
      <c r="BZN20" s="21"/>
      <c r="BZO20" s="21"/>
      <c r="BZP20" s="21"/>
      <c r="BZQ20" s="21"/>
      <c r="BZR20" s="21"/>
      <c r="BZS20" s="21"/>
      <c r="BZT20" s="21"/>
      <c r="BZU20" s="21"/>
      <c r="BZV20" s="21"/>
      <c r="BZW20" s="21"/>
      <c r="BZX20" s="21"/>
      <c r="BZY20" s="21"/>
      <c r="BZZ20" s="21"/>
      <c r="CAA20" s="21"/>
      <c r="CAB20" s="21"/>
      <c r="CAC20" s="21"/>
      <c r="CAD20" s="21"/>
      <c r="CAE20" s="21"/>
      <c r="CAF20" s="21"/>
      <c r="CAG20" s="21"/>
      <c r="CAH20" s="21"/>
      <c r="CAI20" s="21"/>
      <c r="CAJ20" s="21"/>
      <c r="CAK20" s="21"/>
      <c r="CAL20" s="21"/>
      <c r="CAM20" s="21"/>
      <c r="CAN20" s="21"/>
      <c r="CAO20" s="21"/>
      <c r="CAP20" s="21"/>
      <c r="CAQ20" s="21"/>
      <c r="CAR20" s="21"/>
      <c r="CAS20" s="21"/>
      <c r="CAT20" s="21"/>
      <c r="CAU20" s="21"/>
      <c r="CAV20" s="21"/>
      <c r="CAW20" s="21"/>
      <c r="CAX20" s="21"/>
      <c r="CAY20" s="21"/>
      <c r="CAZ20" s="21"/>
      <c r="CBA20" s="21"/>
      <c r="CBB20" s="21"/>
      <c r="CBC20" s="21"/>
      <c r="CBD20" s="21"/>
      <c r="CBE20" s="21"/>
      <c r="CBF20" s="21"/>
      <c r="CBG20" s="21"/>
      <c r="CBH20" s="21"/>
      <c r="CBI20" s="21"/>
      <c r="CBJ20" s="21"/>
      <c r="CBK20" s="21"/>
      <c r="CBL20" s="21"/>
      <c r="CBM20" s="21"/>
      <c r="CBN20" s="21"/>
      <c r="CBO20" s="21"/>
      <c r="CBP20" s="21"/>
      <c r="CBQ20" s="21"/>
      <c r="CBR20" s="21"/>
      <c r="CBS20" s="21"/>
      <c r="CBT20" s="21"/>
      <c r="CBU20" s="21"/>
      <c r="CBV20" s="21"/>
      <c r="CBW20" s="21"/>
      <c r="CBX20" s="21"/>
      <c r="CBY20" s="21"/>
      <c r="CBZ20" s="21"/>
      <c r="CCA20" s="21"/>
      <c r="CCB20" s="21"/>
      <c r="CCC20" s="21"/>
      <c r="CCD20" s="21"/>
      <c r="CCE20" s="21"/>
      <c r="CCF20" s="21"/>
      <c r="CCG20" s="21"/>
      <c r="CCH20" s="21"/>
      <c r="CCI20" s="21"/>
      <c r="CCJ20" s="21"/>
      <c r="CCK20" s="21"/>
      <c r="CCL20" s="21"/>
      <c r="CCM20" s="21"/>
      <c r="CCN20" s="21"/>
      <c r="CCO20" s="21"/>
      <c r="CCP20" s="21"/>
      <c r="CCQ20" s="21"/>
      <c r="CCR20" s="21"/>
      <c r="CCS20" s="21"/>
      <c r="CCT20" s="21"/>
      <c r="CCU20" s="21"/>
      <c r="CCV20" s="21"/>
      <c r="CCW20" s="21"/>
      <c r="CCX20" s="21"/>
      <c r="CCY20" s="21"/>
      <c r="CCZ20" s="21"/>
      <c r="CDA20" s="21"/>
      <c r="CDB20" s="21"/>
      <c r="CDC20" s="21"/>
      <c r="CDD20" s="21"/>
      <c r="CDE20" s="21"/>
      <c r="CDF20" s="21"/>
      <c r="CDG20" s="21"/>
      <c r="CDH20" s="21"/>
      <c r="CDI20" s="21"/>
      <c r="CDJ20" s="21"/>
      <c r="CDK20" s="21"/>
      <c r="CDL20" s="21"/>
      <c r="CDM20" s="21"/>
      <c r="CDN20" s="21"/>
      <c r="CDO20" s="21"/>
      <c r="CDP20" s="21"/>
      <c r="CDQ20" s="21"/>
      <c r="CDR20" s="21"/>
      <c r="CDS20" s="21"/>
      <c r="CDT20" s="21"/>
      <c r="CDU20" s="21"/>
      <c r="CDV20" s="21"/>
      <c r="CDW20" s="21"/>
      <c r="CDX20" s="21"/>
      <c r="CDY20" s="21"/>
      <c r="CDZ20" s="21"/>
      <c r="CEA20" s="21"/>
      <c r="CEB20" s="21"/>
      <c r="CEC20" s="21"/>
      <c r="CED20" s="21"/>
      <c r="CEE20" s="21"/>
      <c r="CEF20" s="21"/>
      <c r="CEG20" s="21"/>
      <c r="CEH20" s="21"/>
      <c r="CEI20" s="21"/>
      <c r="CEJ20" s="21"/>
      <c r="CEK20" s="21"/>
      <c r="CEL20" s="21"/>
      <c r="CEM20" s="21"/>
      <c r="CEN20" s="21"/>
      <c r="CEO20" s="21"/>
      <c r="CEP20" s="21"/>
      <c r="CEQ20" s="21"/>
      <c r="CER20" s="21"/>
      <c r="CES20" s="21"/>
      <c r="CET20" s="21"/>
      <c r="CEU20" s="21"/>
      <c r="CEV20" s="21"/>
      <c r="CEW20" s="21"/>
      <c r="CEX20" s="21"/>
      <c r="CEY20" s="21"/>
      <c r="CEZ20" s="21"/>
      <c r="CFA20" s="21"/>
      <c r="CFB20" s="21"/>
      <c r="CFC20" s="21"/>
      <c r="CFD20" s="21"/>
      <c r="CFE20" s="21"/>
      <c r="CFF20" s="21"/>
      <c r="CFG20" s="21"/>
      <c r="CFH20" s="21"/>
      <c r="CFI20" s="21"/>
      <c r="CFJ20" s="21"/>
      <c r="CFK20" s="21"/>
      <c r="CFL20" s="21"/>
      <c r="CFM20" s="21"/>
      <c r="CFN20" s="21"/>
      <c r="CFO20" s="21"/>
      <c r="CFP20" s="21"/>
      <c r="CFQ20" s="21"/>
      <c r="CFR20" s="21"/>
      <c r="CFS20" s="21"/>
      <c r="CFT20" s="21"/>
      <c r="CFU20" s="21"/>
      <c r="CFV20" s="21"/>
      <c r="CFW20" s="21"/>
      <c r="CFX20" s="21"/>
      <c r="CFY20" s="21"/>
      <c r="CFZ20" s="21"/>
      <c r="CGA20" s="21"/>
      <c r="CGB20" s="21"/>
      <c r="CGC20" s="21"/>
      <c r="CGD20" s="21"/>
      <c r="CGE20" s="21"/>
      <c r="CGF20" s="21"/>
      <c r="CGG20" s="21"/>
      <c r="CGH20" s="21"/>
      <c r="CGI20" s="21"/>
      <c r="CGJ20" s="21"/>
      <c r="CGK20" s="21"/>
      <c r="CGL20" s="21"/>
      <c r="CGM20" s="21"/>
      <c r="CGN20" s="21"/>
      <c r="CGO20" s="21"/>
      <c r="CGP20" s="21"/>
      <c r="CGQ20" s="21"/>
      <c r="CGR20" s="21"/>
      <c r="CGS20" s="21"/>
      <c r="CGT20" s="21"/>
      <c r="CGU20" s="21"/>
      <c r="CGV20" s="21"/>
      <c r="CGW20" s="21"/>
      <c r="CGX20" s="21"/>
      <c r="CGY20" s="21"/>
      <c r="CGZ20" s="21"/>
      <c r="CHA20" s="21"/>
      <c r="CHB20" s="21"/>
      <c r="CHC20" s="21"/>
      <c r="CHD20" s="21"/>
      <c r="CHE20" s="21"/>
      <c r="CHF20" s="21"/>
      <c r="CHG20" s="21"/>
      <c r="CHH20" s="21"/>
      <c r="CHI20" s="21"/>
      <c r="CHJ20" s="21"/>
      <c r="CHK20" s="21"/>
      <c r="CHL20" s="21"/>
      <c r="CHM20" s="21"/>
      <c r="CHN20" s="21"/>
      <c r="CHO20" s="21"/>
      <c r="CHP20" s="21"/>
      <c r="CHQ20" s="21"/>
      <c r="CHR20" s="21"/>
      <c r="CHS20" s="21"/>
      <c r="CHT20" s="21"/>
      <c r="CHU20" s="21"/>
      <c r="CHV20" s="21"/>
      <c r="CHW20" s="21"/>
      <c r="CHX20" s="21"/>
      <c r="CHY20" s="21"/>
      <c r="CHZ20" s="21"/>
      <c r="CIA20" s="21"/>
      <c r="CIB20" s="21"/>
      <c r="CIC20" s="21"/>
      <c r="CID20" s="21"/>
      <c r="CIE20" s="21"/>
      <c r="CIF20" s="21"/>
      <c r="CIG20" s="21"/>
      <c r="CIH20" s="21"/>
      <c r="CII20" s="21"/>
      <c r="CIJ20" s="21"/>
      <c r="CIK20" s="21"/>
      <c r="CIL20" s="21"/>
      <c r="CIM20" s="21"/>
      <c r="CIN20" s="21"/>
      <c r="CIO20" s="21"/>
      <c r="CIP20" s="21"/>
      <c r="CIQ20" s="21"/>
      <c r="CIR20" s="21"/>
      <c r="CIS20" s="21"/>
      <c r="CIT20" s="21"/>
      <c r="CIU20" s="21"/>
      <c r="CIV20" s="21"/>
      <c r="CIW20" s="21"/>
      <c r="CIX20" s="21"/>
      <c r="CIY20" s="21"/>
      <c r="CIZ20" s="21"/>
      <c r="CJA20" s="21"/>
      <c r="CJB20" s="21"/>
      <c r="CJC20" s="21"/>
      <c r="CJD20" s="21"/>
      <c r="CJE20" s="21"/>
      <c r="CJF20" s="21"/>
      <c r="CJG20" s="21"/>
      <c r="CJH20" s="21"/>
      <c r="CJI20" s="21"/>
      <c r="CJJ20" s="21"/>
      <c r="CJK20" s="21"/>
      <c r="CJL20" s="21"/>
      <c r="CJM20" s="21"/>
      <c r="CJN20" s="21"/>
      <c r="CJO20" s="21"/>
      <c r="CJP20" s="21"/>
      <c r="CJQ20" s="21"/>
      <c r="CJR20" s="21"/>
      <c r="CJS20" s="21"/>
      <c r="CJT20" s="21"/>
      <c r="CJU20" s="21"/>
      <c r="CJV20" s="21"/>
      <c r="CJW20" s="21"/>
      <c r="CJX20" s="21"/>
      <c r="CJY20" s="21"/>
      <c r="CJZ20" s="21"/>
      <c r="CKA20" s="21"/>
      <c r="CKB20" s="21"/>
      <c r="CKC20" s="21"/>
      <c r="CKD20" s="21"/>
      <c r="CKE20" s="21"/>
      <c r="CKF20" s="21"/>
      <c r="CKG20" s="21"/>
      <c r="CKH20" s="21"/>
      <c r="CKI20" s="21"/>
      <c r="CKJ20" s="21"/>
      <c r="CKK20" s="21"/>
      <c r="CKL20" s="21"/>
      <c r="CKM20" s="21"/>
      <c r="CKN20" s="21"/>
      <c r="CKO20" s="21"/>
      <c r="CKP20" s="21"/>
      <c r="CKQ20" s="21"/>
      <c r="CKR20" s="21"/>
      <c r="CKS20" s="21"/>
      <c r="CKT20" s="21"/>
      <c r="CKU20" s="21"/>
      <c r="CKV20" s="21"/>
      <c r="CKW20" s="21"/>
      <c r="CKX20" s="21"/>
      <c r="CKY20" s="21"/>
      <c r="CKZ20" s="21"/>
      <c r="CLA20" s="21"/>
      <c r="CLB20" s="21"/>
      <c r="CLC20" s="21"/>
      <c r="CLD20" s="21"/>
      <c r="CLE20" s="21"/>
      <c r="CLF20" s="21"/>
      <c r="CLG20" s="21"/>
      <c r="CLH20" s="21"/>
      <c r="CLI20" s="21"/>
      <c r="CLJ20" s="21"/>
      <c r="CLK20" s="21"/>
      <c r="CLL20" s="21"/>
      <c r="CLM20" s="21"/>
      <c r="CLN20" s="21"/>
      <c r="CLO20" s="21"/>
      <c r="CLP20" s="21"/>
      <c r="CLQ20" s="21"/>
      <c r="CLR20" s="21"/>
      <c r="CLS20" s="21"/>
      <c r="CLT20" s="21"/>
      <c r="CLU20" s="21"/>
      <c r="CLV20" s="21"/>
      <c r="CLW20" s="21"/>
      <c r="CLX20" s="21"/>
      <c r="CLY20" s="21"/>
      <c r="CLZ20" s="21"/>
      <c r="CMA20" s="21"/>
      <c r="CMB20" s="21"/>
      <c r="CMC20" s="21"/>
      <c r="CMD20" s="21"/>
      <c r="CME20" s="21"/>
      <c r="CMF20" s="21"/>
      <c r="CMG20" s="21"/>
      <c r="CMH20" s="21"/>
      <c r="CMI20" s="21"/>
      <c r="CMJ20" s="21"/>
      <c r="CMK20" s="21"/>
      <c r="CML20" s="21"/>
      <c r="CMM20" s="21"/>
      <c r="CMN20" s="21"/>
      <c r="CMO20" s="21"/>
      <c r="CMP20" s="21"/>
      <c r="CMQ20" s="21"/>
      <c r="CMR20" s="21"/>
      <c r="CMS20" s="21"/>
      <c r="CMT20" s="21"/>
      <c r="CMU20" s="21"/>
      <c r="CMV20" s="21"/>
      <c r="CMW20" s="21"/>
      <c r="CMX20" s="21"/>
      <c r="CMY20" s="21"/>
      <c r="CMZ20" s="21"/>
      <c r="CNA20" s="21"/>
      <c r="CNB20" s="21"/>
      <c r="CNC20" s="21"/>
      <c r="CND20" s="21"/>
      <c r="CNE20" s="21"/>
      <c r="CNF20" s="21"/>
      <c r="CNG20" s="21"/>
      <c r="CNH20" s="21"/>
      <c r="CNI20" s="21"/>
      <c r="CNJ20" s="21"/>
      <c r="CNK20" s="21"/>
      <c r="CNL20" s="21"/>
      <c r="CNM20" s="21"/>
      <c r="CNN20" s="21"/>
      <c r="CNO20" s="21"/>
      <c r="CNP20" s="21"/>
      <c r="CNQ20" s="21"/>
      <c r="CNR20" s="21"/>
      <c r="CNS20" s="21"/>
      <c r="CNT20" s="21"/>
      <c r="CNU20" s="21"/>
      <c r="CNV20" s="21"/>
      <c r="CNW20" s="21"/>
      <c r="CNX20" s="21"/>
      <c r="CNY20" s="21"/>
      <c r="CNZ20" s="21"/>
      <c r="COA20" s="21"/>
      <c r="COB20" s="21"/>
      <c r="COC20" s="21"/>
      <c r="COD20" s="21"/>
      <c r="COE20" s="21"/>
      <c r="COF20" s="21"/>
      <c r="COG20" s="21"/>
      <c r="COH20" s="21"/>
      <c r="COI20" s="21"/>
      <c r="COJ20" s="21"/>
      <c r="COK20" s="21"/>
      <c r="COL20" s="21"/>
      <c r="COM20" s="21"/>
      <c r="CON20" s="21"/>
      <c r="COO20" s="21"/>
      <c r="COP20" s="21"/>
      <c r="COQ20" s="21"/>
      <c r="COR20" s="21"/>
      <c r="COS20" s="21"/>
      <c r="COT20" s="21"/>
      <c r="COU20" s="21"/>
      <c r="COV20" s="21"/>
      <c r="COW20" s="21"/>
      <c r="COX20" s="21"/>
      <c r="COY20" s="21"/>
      <c r="COZ20" s="21"/>
      <c r="CPA20" s="21"/>
      <c r="CPB20" s="21"/>
      <c r="CPC20" s="21"/>
      <c r="CPD20" s="21"/>
      <c r="CPE20" s="21"/>
      <c r="CPF20" s="21"/>
      <c r="CPG20" s="21"/>
      <c r="CPH20" s="21"/>
      <c r="CPI20" s="21"/>
      <c r="CPJ20" s="21"/>
      <c r="CPK20" s="21"/>
      <c r="CPL20" s="21"/>
      <c r="CPM20" s="21"/>
      <c r="CPN20" s="21"/>
      <c r="CPO20" s="21"/>
      <c r="CPP20" s="21"/>
      <c r="CPQ20" s="21"/>
      <c r="CPR20" s="21"/>
      <c r="CPS20" s="21"/>
      <c r="CPT20" s="21"/>
      <c r="CPU20" s="21"/>
      <c r="CPV20" s="21"/>
      <c r="CPW20" s="21"/>
      <c r="CPX20" s="21"/>
      <c r="CPY20" s="21"/>
      <c r="CPZ20" s="21"/>
      <c r="CQA20" s="21"/>
      <c r="CQB20" s="21"/>
      <c r="CQC20" s="21"/>
      <c r="CQD20" s="21"/>
      <c r="CQE20" s="21"/>
      <c r="CQF20" s="21"/>
      <c r="CQG20" s="21"/>
      <c r="CQH20" s="21"/>
      <c r="CQI20" s="21"/>
      <c r="CQJ20" s="21"/>
      <c r="CQK20" s="21"/>
      <c r="CQL20" s="21"/>
      <c r="CQM20" s="21"/>
      <c r="CQN20" s="21"/>
      <c r="CQO20" s="21"/>
      <c r="CQP20" s="21"/>
      <c r="CQQ20" s="21"/>
      <c r="CQR20" s="21"/>
      <c r="CQS20" s="21"/>
      <c r="CQT20" s="21"/>
      <c r="CQU20" s="21"/>
      <c r="CQV20" s="21"/>
      <c r="CQW20" s="21"/>
      <c r="CQX20" s="21"/>
      <c r="CQY20" s="21"/>
      <c r="CQZ20" s="21"/>
      <c r="CRA20" s="21"/>
      <c r="CRB20" s="21"/>
      <c r="CRC20" s="21"/>
      <c r="CRD20" s="21"/>
      <c r="CRE20" s="21"/>
      <c r="CRF20" s="21"/>
      <c r="CRG20" s="21"/>
      <c r="CRH20" s="21"/>
      <c r="CRI20" s="21"/>
      <c r="CRJ20" s="21"/>
      <c r="CRK20" s="21"/>
      <c r="CRL20" s="21"/>
      <c r="CRM20" s="21"/>
      <c r="CRN20" s="21"/>
      <c r="CRO20" s="21"/>
      <c r="CRP20" s="21"/>
      <c r="CRQ20" s="21"/>
      <c r="CRR20" s="21"/>
      <c r="CRS20" s="21"/>
      <c r="CRT20" s="21"/>
      <c r="CRU20" s="21"/>
      <c r="CRV20" s="21"/>
      <c r="CRW20" s="21"/>
      <c r="CRX20" s="21"/>
      <c r="CRY20" s="21"/>
      <c r="CRZ20" s="21"/>
      <c r="CSA20" s="21"/>
      <c r="CSB20" s="21"/>
      <c r="CSC20" s="21"/>
      <c r="CSD20" s="21"/>
      <c r="CSE20" s="21"/>
      <c r="CSF20" s="21"/>
      <c r="CSG20" s="21"/>
      <c r="CSH20" s="21"/>
      <c r="CSI20" s="21"/>
      <c r="CSJ20" s="21"/>
      <c r="CSK20" s="21"/>
      <c r="CSL20" s="21"/>
      <c r="CSM20" s="21"/>
      <c r="CSN20" s="21"/>
      <c r="CSO20" s="21"/>
      <c r="CSP20" s="21"/>
      <c r="CSQ20" s="21"/>
      <c r="CSR20" s="21"/>
      <c r="CSS20" s="21"/>
      <c r="CST20" s="21"/>
      <c r="CSU20" s="21"/>
      <c r="CSV20" s="21"/>
      <c r="CSW20" s="21"/>
      <c r="CSX20" s="21"/>
      <c r="CSY20" s="21"/>
      <c r="CSZ20" s="21"/>
      <c r="CTA20" s="21"/>
      <c r="CTB20" s="21"/>
      <c r="CTC20" s="21"/>
      <c r="CTD20" s="21"/>
      <c r="CTE20" s="21"/>
      <c r="CTF20" s="21"/>
      <c r="CTG20" s="21"/>
      <c r="CTH20" s="21"/>
      <c r="CTI20" s="21"/>
      <c r="CTJ20" s="21"/>
      <c r="CTK20" s="21"/>
      <c r="CTL20" s="21"/>
      <c r="CTM20" s="21"/>
      <c r="CTN20" s="21"/>
      <c r="CTO20" s="21"/>
      <c r="CTP20" s="21"/>
      <c r="CTQ20" s="21"/>
      <c r="CTR20" s="21"/>
      <c r="CTS20" s="21"/>
      <c r="CTT20" s="21"/>
      <c r="CTU20" s="21"/>
      <c r="CTV20" s="21"/>
      <c r="CTW20" s="21"/>
      <c r="CTX20" s="21"/>
      <c r="CTY20" s="21"/>
      <c r="CTZ20" s="21"/>
      <c r="CUA20" s="21"/>
      <c r="CUB20" s="21"/>
      <c r="CUC20" s="21"/>
      <c r="CUD20" s="21"/>
      <c r="CUE20" s="21"/>
      <c r="CUF20" s="21"/>
      <c r="CUG20" s="21"/>
      <c r="CUH20" s="21"/>
      <c r="CUI20" s="21"/>
      <c r="CUJ20" s="21"/>
      <c r="CUK20" s="21"/>
      <c r="CUL20" s="21"/>
      <c r="CUM20" s="21"/>
      <c r="CUN20" s="21"/>
      <c r="CUO20" s="21"/>
      <c r="CUP20" s="21"/>
      <c r="CUQ20" s="21"/>
      <c r="CUR20" s="21"/>
      <c r="CUS20" s="21"/>
      <c r="CUT20" s="21"/>
      <c r="CUU20" s="21"/>
      <c r="CUV20" s="21"/>
      <c r="CUW20" s="21"/>
      <c r="CUX20" s="21"/>
      <c r="CUY20" s="21"/>
      <c r="CUZ20" s="21"/>
      <c r="CVA20" s="21"/>
      <c r="CVB20" s="21"/>
      <c r="CVC20" s="21"/>
      <c r="CVD20" s="21"/>
      <c r="CVE20" s="21"/>
      <c r="CVF20" s="21"/>
      <c r="CVG20" s="21"/>
      <c r="CVH20" s="21"/>
      <c r="CVI20" s="21"/>
      <c r="CVJ20" s="21"/>
      <c r="CVK20" s="21"/>
      <c r="CVL20" s="21"/>
      <c r="CVM20" s="21"/>
      <c r="CVN20" s="21"/>
      <c r="CVO20" s="21"/>
      <c r="CVP20" s="21"/>
      <c r="CVQ20" s="21"/>
      <c r="CVR20" s="21"/>
      <c r="CVS20" s="21"/>
      <c r="CVT20" s="21"/>
      <c r="CVU20" s="21"/>
      <c r="CVV20" s="21"/>
      <c r="CVW20" s="21"/>
      <c r="CVX20" s="21"/>
      <c r="CVY20" s="21"/>
      <c r="CVZ20" s="21"/>
      <c r="CWA20" s="21"/>
      <c r="CWB20" s="21"/>
      <c r="CWC20" s="21"/>
      <c r="CWD20" s="21"/>
      <c r="CWE20" s="21"/>
      <c r="CWF20" s="21"/>
      <c r="CWG20" s="21"/>
      <c r="CWH20" s="21"/>
      <c r="CWI20" s="21"/>
      <c r="CWJ20" s="21"/>
      <c r="CWK20" s="21"/>
      <c r="CWL20" s="21"/>
      <c r="CWM20" s="21"/>
      <c r="CWN20" s="21"/>
      <c r="CWO20" s="21"/>
      <c r="CWP20" s="21"/>
      <c r="CWQ20" s="21"/>
      <c r="CWR20" s="21"/>
      <c r="CWS20" s="21"/>
      <c r="CWT20" s="21"/>
      <c r="CWU20" s="21"/>
      <c r="CWV20" s="21"/>
      <c r="CWW20" s="21"/>
      <c r="CWX20" s="21"/>
      <c r="CWY20" s="21"/>
      <c r="CWZ20" s="21"/>
      <c r="CXA20" s="21"/>
      <c r="CXB20" s="21"/>
      <c r="CXC20" s="21"/>
      <c r="CXD20" s="21"/>
      <c r="CXE20" s="21"/>
      <c r="CXF20" s="21"/>
      <c r="CXG20" s="21"/>
      <c r="CXH20" s="21"/>
      <c r="CXI20" s="21"/>
      <c r="CXJ20" s="21"/>
      <c r="CXK20" s="21"/>
      <c r="CXL20" s="21"/>
      <c r="CXM20" s="21"/>
      <c r="CXN20" s="21"/>
      <c r="CXO20" s="21"/>
      <c r="CXP20" s="21"/>
      <c r="CXQ20" s="21"/>
      <c r="CXR20" s="21"/>
      <c r="CXS20" s="21"/>
      <c r="CXT20" s="21"/>
      <c r="CXU20" s="21"/>
      <c r="CXV20" s="21"/>
      <c r="CXW20" s="21"/>
      <c r="CXX20" s="21"/>
      <c r="CXY20" s="21"/>
      <c r="CXZ20" s="21"/>
      <c r="CYA20" s="21"/>
      <c r="CYB20" s="21"/>
      <c r="CYC20" s="21"/>
      <c r="CYD20" s="21"/>
      <c r="CYE20" s="21"/>
      <c r="CYF20" s="21"/>
      <c r="CYG20" s="21"/>
      <c r="CYH20" s="21"/>
      <c r="CYI20" s="21"/>
      <c r="CYJ20" s="21"/>
      <c r="CYK20" s="21"/>
      <c r="CYL20" s="21"/>
      <c r="CYM20" s="21"/>
      <c r="CYN20" s="21"/>
      <c r="CYO20" s="21"/>
      <c r="CYP20" s="21"/>
      <c r="CYQ20" s="21"/>
      <c r="CYR20" s="21"/>
      <c r="CYS20" s="21"/>
      <c r="CYT20" s="21"/>
      <c r="CYU20" s="21"/>
      <c r="CYV20" s="21"/>
      <c r="CYW20" s="21"/>
      <c r="CYX20" s="21"/>
      <c r="CYY20" s="21"/>
      <c r="CYZ20" s="21"/>
      <c r="CZA20" s="21"/>
      <c r="CZB20" s="21"/>
      <c r="CZC20" s="21"/>
      <c r="CZD20" s="21"/>
      <c r="CZE20" s="21"/>
      <c r="CZF20" s="21"/>
      <c r="CZG20" s="21"/>
      <c r="CZH20" s="21"/>
      <c r="CZI20" s="21"/>
      <c r="CZJ20" s="21"/>
      <c r="CZK20" s="21"/>
      <c r="CZL20" s="21"/>
      <c r="CZM20" s="21"/>
      <c r="CZN20" s="21"/>
      <c r="CZO20" s="21"/>
      <c r="CZP20" s="21"/>
      <c r="CZQ20" s="21"/>
      <c r="CZR20" s="21"/>
      <c r="CZS20" s="21"/>
      <c r="CZT20" s="21"/>
      <c r="CZU20" s="21"/>
      <c r="CZV20" s="21"/>
      <c r="CZW20" s="21"/>
      <c r="CZX20" s="21"/>
      <c r="CZY20" s="21"/>
      <c r="CZZ20" s="21"/>
      <c r="DAA20" s="21"/>
      <c r="DAB20" s="21"/>
      <c r="DAC20" s="21"/>
      <c r="DAD20" s="21"/>
      <c r="DAE20" s="21"/>
      <c r="DAF20" s="21"/>
      <c r="DAG20" s="21"/>
      <c r="DAH20" s="21"/>
      <c r="DAI20" s="21"/>
      <c r="DAJ20" s="21"/>
      <c r="DAK20" s="21"/>
      <c r="DAL20" s="21"/>
      <c r="DAM20" s="21"/>
      <c r="DAN20" s="21"/>
      <c r="DAO20" s="21"/>
      <c r="DAP20" s="21"/>
      <c r="DAQ20" s="21"/>
      <c r="DAR20" s="21"/>
      <c r="DAS20" s="21"/>
      <c r="DAT20" s="21"/>
      <c r="DAU20" s="21"/>
      <c r="DAV20" s="21"/>
      <c r="DAW20" s="21"/>
      <c r="DAX20" s="21"/>
      <c r="DAY20" s="21"/>
      <c r="DAZ20" s="21"/>
      <c r="DBA20" s="21"/>
      <c r="DBB20" s="21"/>
      <c r="DBC20" s="21"/>
      <c r="DBD20" s="21"/>
      <c r="DBE20" s="21"/>
      <c r="DBF20" s="21"/>
      <c r="DBG20" s="21"/>
      <c r="DBH20" s="21"/>
      <c r="DBI20" s="21"/>
      <c r="DBJ20" s="21"/>
      <c r="DBK20" s="21"/>
      <c r="DBL20" s="21"/>
      <c r="DBM20" s="21"/>
      <c r="DBN20" s="21"/>
      <c r="DBO20" s="21"/>
      <c r="DBP20" s="21"/>
      <c r="DBQ20" s="21"/>
      <c r="DBR20" s="21"/>
      <c r="DBS20" s="21"/>
      <c r="DBT20" s="21"/>
      <c r="DBU20" s="21"/>
      <c r="DBV20" s="21"/>
      <c r="DBW20" s="21"/>
      <c r="DBX20" s="21"/>
      <c r="DBY20" s="21"/>
      <c r="DBZ20" s="21"/>
      <c r="DCA20" s="21"/>
      <c r="DCB20" s="21"/>
      <c r="DCC20" s="21"/>
      <c r="DCD20" s="21"/>
      <c r="DCE20" s="21"/>
      <c r="DCF20" s="21"/>
      <c r="DCG20" s="21"/>
      <c r="DCH20" s="21"/>
      <c r="DCI20" s="21"/>
      <c r="DCJ20" s="21"/>
      <c r="DCK20" s="21"/>
      <c r="DCL20" s="21"/>
      <c r="DCM20" s="21"/>
      <c r="DCN20" s="21"/>
      <c r="DCO20" s="21"/>
      <c r="DCP20" s="21"/>
      <c r="DCQ20" s="21"/>
      <c r="DCR20" s="21"/>
      <c r="DCS20" s="21"/>
      <c r="DCT20" s="21"/>
      <c r="DCU20" s="21"/>
      <c r="DCV20" s="21"/>
      <c r="DCW20" s="21"/>
      <c r="DCX20" s="21"/>
      <c r="DCY20" s="21"/>
      <c r="DCZ20" s="21"/>
      <c r="DDA20" s="21"/>
      <c r="DDB20" s="21"/>
      <c r="DDC20" s="21"/>
      <c r="DDD20" s="21"/>
      <c r="DDE20" s="21"/>
      <c r="DDF20" s="21"/>
      <c r="DDG20" s="21"/>
      <c r="DDH20" s="21"/>
      <c r="DDI20" s="21"/>
      <c r="DDJ20" s="21"/>
      <c r="DDK20" s="21"/>
      <c r="DDL20" s="21"/>
      <c r="DDM20" s="21"/>
      <c r="DDN20" s="21"/>
      <c r="DDO20" s="21"/>
      <c r="DDP20" s="21"/>
      <c r="DDQ20" s="21"/>
      <c r="DDR20" s="21"/>
      <c r="DDS20" s="21"/>
      <c r="DDT20" s="21"/>
      <c r="DDU20" s="21"/>
      <c r="DDV20" s="21"/>
      <c r="DDW20" s="21"/>
      <c r="DDX20" s="21"/>
      <c r="DDY20" s="21"/>
      <c r="DDZ20" s="21"/>
      <c r="DEA20" s="21"/>
      <c r="DEB20" s="21"/>
      <c r="DEC20" s="21"/>
      <c r="DED20" s="21"/>
      <c r="DEE20" s="21"/>
      <c r="DEF20" s="21"/>
      <c r="DEG20" s="21"/>
      <c r="DEH20" s="21"/>
      <c r="DEI20" s="21"/>
      <c r="DEJ20" s="21"/>
      <c r="DEK20" s="21"/>
      <c r="DEL20" s="21"/>
      <c r="DEM20" s="21"/>
      <c r="DEN20" s="21"/>
      <c r="DEO20" s="21"/>
      <c r="DEP20" s="21"/>
      <c r="DEQ20" s="21"/>
      <c r="DER20" s="21"/>
      <c r="DES20" s="21"/>
      <c r="DET20" s="21"/>
      <c r="DEU20" s="21"/>
      <c r="DEV20" s="21"/>
      <c r="DEW20" s="21"/>
      <c r="DEX20" s="21"/>
      <c r="DEY20" s="21"/>
      <c r="DEZ20" s="21"/>
      <c r="DFA20" s="21"/>
      <c r="DFB20" s="21"/>
      <c r="DFC20" s="21"/>
      <c r="DFD20" s="21"/>
      <c r="DFE20" s="21"/>
      <c r="DFF20" s="21"/>
      <c r="DFG20" s="21"/>
      <c r="DFH20" s="21"/>
      <c r="DFI20" s="21"/>
      <c r="DFJ20" s="21"/>
      <c r="DFK20" s="21"/>
      <c r="DFL20" s="21"/>
      <c r="DFM20" s="21"/>
      <c r="DFN20" s="21"/>
      <c r="DFO20" s="21"/>
      <c r="DFP20" s="21"/>
      <c r="DFQ20" s="21"/>
      <c r="DFR20" s="21"/>
      <c r="DFS20" s="21"/>
      <c r="DFT20" s="21"/>
      <c r="DFU20" s="21"/>
      <c r="DFV20" s="21"/>
      <c r="DFW20" s="21"/>
      <c r="DFX20" s="21"/>
      <c r="DFY20" s="21"/>
      <c r="DFZ20" s="21"/>
      <c r="DGA20" s="21"/>
      <c r="DGB20" s="21"/>
      <c r="DGC20" s="21"/>
      <c r="DGD20" s="21"/>
      <c r="DGE20" s="21"/>
      <c r="DGF20" s="21"/>
      <c r="DGG20" s="21"/>
      <c r="DGH20" s="21"/>
      <c r="DGI20" s="21"/>
      <c r="DGJ20" s="21"/>
      <c r="DGK20" s="21"/>
      <c r="DGL20" s="21"/>
      <c r="DGM20" s="21"/>
      <c r="DGN20" s="21"/>
      <c r="DGO20" s="21"/>
      <c r="DGP20" s="21"/>
      <c r="DGQ20" s="21"/>
      <c r="DGR20" s="21"/>
      <c r="DGS20" s="21"/>
      <c r="DGT20" s="21"/>
      <c r="DGU20" s="21"/>
      <c r="DGV20" s="21"/>
      <c r="DGW20" s="21"/>
      <c r="DGX20" s="21"/>
      <c r="DGY20" s="21"/>
      <c r="DGZ20" s="21"/>
      <c r="DHA20" s="21"/>
      <c r="DHB20" s="21"/>
      <c r="DHC20" s="21"/>
      <c r="DHD20" s="21"/>
      <c r="DHE20" s="21"/>
      <c r="DHF20" s="21"/>
      <c r="DHG20" s="21"/>
      <c r="DHH20" s="21"/>
      <c r="DHI20" s="21"/>
      <c r="DHJ20" s="21"/>
      <c r="DHK20" s="21"/>
      <c r="DHL20" s="21"/>
      <c r="DHM20" s="21"/>
      <c r="DHN20" s="21"/>
      <c r="DHO20" s="21"/>
      <c r="DHP20" s="21"/>
      <c r="DHQ20" s="21"/>
      <c r="DHR20" s="21"/>
      <c r="DHS20" s="21"/>
      <c r="DHT20" s="21"/>
      <c r="DHU20" s="21"/>
      <c r="DHV20" s="21"/>
      <c r="DHW20" s="21"/>
      <c r="DHX20" s="21"/>
      <c r="DHY20" s="21"/>
      <c r="DHZ20" s="21"/>
      <c r="DIA20" s="21"/>
      <c r="DIB20" s="21"/>
      <c r="DIC20" s="21"/>
      <c r="DID20" s="21"/>
      <c r="DIE20" s="21"/>
      <c r="DIF20" s="21"/>
      <c r="DIG20" s="21"/>
      <c r="DIH20" s="21"/>
      <c r="DII20" s="21"/>
      <c r="DIJ20" s="21"/>
      <c r="DIK20" s="21"/>
      <c r="DIL20" s="21"/>
      <c r="DIM20" s="21"/>
      <c r="DIN20" s="21"/>
      <c r="DIO20" s="21"/>
      <c r="DIP20" s="21"/>
      <c r="DIQ20" s="21"/>
      <c r="DIR20" s="21"/>
      <c r="DIS20" s="21"/>
      <c r="DIT20" s="21"/>
      <c r="DIU20" s="21"/>
      <c r="DIV20" s="21"/>
      <c r="DIW20" s="21"/>
      <c r="DIX20" s="21"/>
      <c r="DIY20" s="21"/>
      <c r="DIZ20" s="21"/>
      <c r="DJA20" s="21"/>
      <c r="DJB20" s="21"/>
      <c r="DJC20" s="21"/>
      <c r="DJD20" s="21"/>
      <c r="DJE20" s="21"/>
      <c r="DJF20" s="21"/>
      <c r="DJG20" s="21"/>
      <c r="DJH20" s="21"/>
      <c r="DJI20" s="21"/>
      <c r="DJJ20" s="21"/>
      <c r="DJK20" s="21"/>
      <c r="DJL20" s="21"/>
      <c r="DJM20" s="21"/>
      <c r="DJN20" s="21"/>
      <c r="DJO20" s="21"/>
      <c r="DJP20" s="21"/>
      <c r="DJQ20" s="21"/>
      <c r="DJR20" s="21"/>
      <c r="DJS20" s="21"/>
      <c r="DJT20" s="21"/>
      <c r="DJU20" s="21"/>
      <c r="DJV20" s="21"/>
      <c r="DJW20" s="21"/>
      <c r="DJX20" s="21"/>
      <c r="DJY20" s="21"/>
      <c r="DJZ20" s="21"/>
      <c r="DKA20" s="21"/>
      <c r="DKB20" s="21"/>
      <c r="DKC20" s="21"/>
      <c r="DKD20" s="21"/>
      <c r="DKE20" s="21"/>
      <c r="DKF20" s="21"/>
      <c r="DKG20" s="21"/>
      <c r="DKH20" s="21"/>
      <c r="DKI20" s="21"/>
      <c r="DKJ20" s="21"/>
      <c r="DKK20" s="21"/>
      <c r="DKL20" s="21"/>
      <c r="DKM20" s="21"/>
      <c r="DKN20" s="21"/>
      <c r="DKO20" s="21"/>
      <c r="DKP20" s="21"/>
      <c r="DKQ20" s="21"/>
      <c r="DKR20" s="21"/>
      <c r="DKS20" s="21"/>
      <c r="DKT20" s="21"/>
      <c r="DKU20" s="21"/>
      <c r="DKV20" s="21"/>
      <c r="DKW20" s="21"/>
      <c r="DKX20" s="21"/>
      <c r="DKY20" s="21"/>
      <c r="DKZ20" s="21"/>
      <c r="DLA20" s="21"/>
      <c r="DLB20" s="21"/>
      <c r="DLC20" s="21"/>
      <c r="DLD20" s="21"/>
      <c r="DLE20" s="21"/>
      <c r="DLF20" s="21"/>
      <c r="DLG20" s="21"/>
      <c r="DLH20" s="21"/>
      <c r="DLI20" s="21"/>
      <c r="DLJ20" s="21"/>
      <c r="DLK20" s="21"/>
      <c r="DLL20" s="21"/>
      <c r="DLM20" s="21"/>
      <c r="DLN20" s="21"/>
      <c r="DLO20" s="21"/>
      <c r="DLP20" s="21"/>
      <c r="DLQ20" s="21"/>
      <c r="DLR20" s="21"/>
      <c r="DLS20" s="21"/>
      <c r="DLT20" s="21"/>
      <c r="DLU20" s="21"/>
      <c r="DLV20" s="21"/>
      <c r="DLW20" s="21"/>
      <c r="DLX20" s="21"/>
      <c r="DLY20" s="21"/>
      <c r="DLZ20" s="21"/>
      <c r="DMA20" s="21"/>
      <c r="DMB20" s="21"/>
      <c r="DMC20" s="21"/>
      <c r="DMD20" s="21"/>
      <c r="DME20" s="21"/>
      <c r="DMF20" s="21"/>
      <c r="DMG20" s="21"/>
      <c r="DMH20" s="21"/>
      <c r="DMI20" s="21"/>
      <c r="DMJ20" s="21"/>
      <c r="DMK20" s="21"/>
      <c r="DML20" s="21"/>
      <c r="DMM20" s="21"/>
      <c r="DMN20" s="21"/>
      <c r="DMO20" s="21"/>
      <c r="DMP20" s="21"/>
      <c r="DMQ20" s="21"/>
      <c r="DMR20" s="21"/>
      <c r="DMS20" s="21"/>
      <c r="DMT20" s="21"/>
      <c r="DMU20" s="21"/>
      <c r="DMV20" s="21"/>
      <c r="DMW20" s="21"/>
      <c r="DMX20" s="21"/>
      <c r="DMY20" s="21"/>
      <c r="DMZ20" s="21"/>
      <c r="DNA20" s="21"/>
      <c r="DNB20" s="21"/>
      <c r="DNC20" s="21"/>
      <c r="DND20" s="21"/>
      <c r="DNE20" s="21"/>
      <c r="DNF20" s="21"/>
      <c r="DNG20" s="21"/>
      <c r="DNH20" s="21"/>
      <c r="DNI20" s="21"/>
      <c r="DNJ20" s="21"/>
      <c r="DNK20" s="21"/>
      <c r="DNL20" s="21"/>
      <c r="DNM20" s="21"/>
      <c r="DNN20" s="21"/>
      <c r="DNO20" s="21"/>
      <c r="DNP20" s="21"/>
      <c r="DNQ20" s="21"/>
      <c r="DNR20" s="21"/>
      <c r="DNS20" s="21"/>
      <c r="DNT20" s="21"/>
      <c r="DNU20" s="21"/>
      <c r="DNV20" s="21"/>
      <c r="DNW20" s="21"/>
      <c r="DNX20" s="21"/>
      <c r="DNY20" s="21"/>
      <c r="DNZ20" s="21"/>
      <c r="DOA20" s="21"/>
      <c r="DOB20" s="21"/>
      <c r="DOC20" s="21"/>
      <c r="DOD20" s="21"/>
      <c r="DOE20" s="21"/>
      <c r="DOF20" s="21"/>
      <c r="DOG20" s="21"/>
      <c r="DOH20" s="21"/>
      <c r="DOI20" s="21"/>
      <c r="DOJ20" s="21"/>
      <c r="DOK20" s="21"/>
      <c r="DOL20" s="21"/>
      <c r="DOM20" s="21"/>
      <c r="DON20" s="21"/>
      <c r="DOO20" s="21"/>
      <c r="DOP20" s="21"/>
      <c r="DOQ20" s="21"/>
      <c r="DOR20" s="21"/>
      <c r="DOS20" s="21"/>
      <c r="DOT20" s="21"/>
      <c r="DOU20" s="21"/>
      <c r="DOV20" s="21"/>
      <c r="DOW20" s="21"/>
      <c r="DOX20" s="21"/>
      <c r="DOY20" s="21"/>
      <c r="DOZ20" s="21"/>
      <c r="DPA20" s="21"/>
      <c r="DPB20" s="21"/>
      <c r="DPC20" s="21"/>
      <c r="DPD20" s="21"/>
      <c r="DPE20" s="21"/>
      <c r="DPF20" s="21"/>
      <c r="DPG20" s="21"/>
      <c r="DPH20" s="21"/>
      <c r="DPI20" s="21"/>
      <c r="DPJ20" s="21"/>
      <c r="DPK20" s="21"/>
      <c r="DPL20" s="21"/>
      <c r="DPM20" s="21"/>
      <c r="DPN20" s="21"/>
      <c r="DPO20" s="21"/>
      <c r="DPP20" s="21"/>
      <c r="DPQ20" s="21"/>
      <c r="DPR20" s="21"/>
      <c r="DPS20" s="21"/>
      <c r="DPT20" s="21"/>
      <c r="DPU20" s="21"/>
      <c r="DPV20" s="21"/>
      <c r="DPW20" s="21"/>
      <c r="DPX20" s="21"/>
      <c r="DPY20" s="21"/>
      <c r="DPZ20" s="21"/>
      <c r="DQA20" s="21"/>
      <c r="DQB20" s="21"/>
      <c r="DQC20" s="21"/>
      <c r="DQD20" s="21"/>
      <c r="DQE20" s="21"/>
      <c r="DQF20" s="21"/>
      <c r="DQG20" s="21"/>
      <c r="DQH20" s="21"/>
      <c r="DQI20" s="21"/>
      <c r="DQJ20" s="21"/>
      <c r="DQK20" s="21"/>
      <c r="DQL20" s="21"/>
      <c r="DQM20" s="21"/>
      <c r="DQN20" s="21"/>
      <c r="DQO20" s="21"/>
      <c r="DQP20" s="21"/>
      <c r="DQQ20" s="21"/>
      <c r="DQR20" s="21"/>
      <c r="DQS20" s="21"/>
      <c r="DQT20" s="21"/>
      <c r="DQU20" s="21"/>
      <c r="DQV20" s="21"/>
      <c r="DQW20" s="21"/>
      <c r="DQX20" s="21"/>
      <c r="DQY20" s="21"/>
      <c r="DQZ20" s="21"/>
      <c r="DRA20" s="21"/>
      <c r="DRB20" s="21"/>
      <c r="DRC20" s="21"/>
      <c r="DRD20" s="21"/>
      <c r="DRE20" s="21"/>
      <c r="DRF20" s="21"/>
      <c r="DRG20" s="21"/>
      <c r="DRH20" s="21"/>
      <c r="DRI20" s="21"/>
      <c r="DRJ20" s="21"/>
      <c r="DRK20" s="21"/>
      <c r="DRL20" s="21"/>
      <c r="DRM20" s="21"/>
      <c r="DRN20" s="21"/>
      <c r="DRO20" s="21"/>
      <c r="DRP20" s="21"/>
      <c r="DRQ20" s="21"/>
      <c r="DRR20" s="21"/>
      <c r="DRS20" s="21"/>
      <c r="DRT20" s="21"/>
      <c r="DRU20" s="21"/>
      <c r="DRV20" s="21"/>
      <c r="DRW20" s="21"/>
      <c r="DRX20" s="21"/>
      <c r="DRY20" s="21"/>
      <c r="DRZ20" s="21"/>
      <c r="DSA20" s="21"/>
      <c r="DSB20" s="21"/>
      <c r="DSC20" s="21"/>
      <c r="DSD20" s="21"/>
      <c r="DSE20" s="21"/>
      <c r="DSF20" s="21"/>
      <c r="DSG20" s="21"/>
      <c r="DSH20" s="21"/>
      <c r="DSI20" s="21"/>
      <c r="DSJ20" s="21"/>
      <c r="DSK20" s="21"/>
      <c r="DSL20" s="21"/>
      <c r="DSM20" s="21"/>
      <c r="DSN20" s="21"/>
      <c r="DSO20" s="21"/>
      <c r="DSP20" s="21"/>
      <c r="DSQ20" s="21"/>
      <c r="DSR20" s="21"/>
      <c r="DSS20" s="21"/>
      <c r="DST20" s="21"/>
      <c r="DSU20" s="21"/>
      <c r="DSV20" s="21"/>
      <c r="DSW20" s="21"/>
      <c r="DSX20" s="21"/>
      <c r="DSY20" s="21"/>
      <c r="DSZ20" s="21"/>
      <c r="DTA20" s="21"/>
      <c r="DTB20" s="21"/>
      <c r="DTC20" s="21"/>
      <c r="DTD20" s="21"/>
      <c r="DTE20" s="21"/>
      <c r="DTF20" s="21"/>
      <c r="DTG20" s="21"/>
      <c r="DTH20" s="21"/>
      <c r="DTI20" s="21"/>
      <c r="DTJ20" s="21"/>
      <c r="DTK20" s="21"/>
      <c r="DTL20" s="21"/>
      <c r="DTM20" s="21"/>
      <c r="DTN20" s="21"/>
      <c r="DTO20" s="21"/>
      <c r="DTP20" s="21"/>
      <c r="DTQ20" s="21"/>
      <c r="DTR20" s="21"/>
      <c r="DTS20" s="21"/>
      <c r="DTT20" s="21"/>
      <c r="DTU20" s="21"/>
      <c r="DTV20" s="21"/>
      <c r="DTW20" s="21"/>
      <c r="DTX20" s="21"/>
      <c r="DTY20" s="21"/>
      <c r="DTZ20" s="21"/>
      <c r="DUA20" s="21"/>
      <c r="DUB20" s="21"/>
      <c r="DUC20" s="21"/>
      <c r="DUD20" s="21"/>
      <c r="DUE20" s="21"/>
      <c r="DUF20" s="21"/>
      <c r="DUG20" s="21"/>
      <c r="DUH20" s="21"/>
      <c r="DUI20" s="21"/>
      <c r="DUJ20" s="21"/>
      <c r="DUK20" s="21"/>
      <c r="DUL20" s="21"/>
      <c r="DUM20" s="21"/>
      <c r="DUN20" s="21"/>
      <c r="DUO20" s="21"/>
      <c r="DUP20" s="21"/>
      <c r="DUQ20" s="21"/>
      <c r="DUR20" s="21"/>
      <c r="DUS20" s="21"/>
      <c r="DUT20" s="21"/>
      <c r="DUU20" s="21"/>
      <c r="DUV20" s="21"/>
      <c r="DUW20" s="21"/>
      <c r="DUX20" s="21"/>
      <c r="DUY20" s="21"/>
      <c r="DUZ20" s="21"/>
      <c r="DVA20" s="21"/>
      <c r="DVB20" s="21"/>
      <c r="DVC20" s="21"/>
      <c r="DVD20" s="21"/>
      <c r="DVE20" s="21"/>
      <c r="DVF20" s="21"/>
      <c r="DVG20" s="21"/>
      <c r="DVH20" s="21"/>
      <c r="DVI20" s="21"/>
      <c r="DVJ20" s="21"/>
      <c r="DVK20" s="21"/>
      <c r="DVL20" s="21"/>
      <c r="DVM20" s="21"/>
      <c r="DVN20" s="21"/>
      <c r="DVO20" s="21"/>
      <c r="DVP20" s="21"/>
      <c r="DVQ20" s="21"/>
      <c r="DVR20" s="21"/>
      <c r="DVS20" s="21"/>
      <c r="DVT20" s="21"/>
      <c r="DVU20" s="21"/>
      <c r="DVV20" s="21"/>
      <c r="DVW20" s="21"/>
      <c r="DVX20" s="21"/>
      <c r="DVY20" s="21"/>
      <c r="DVZ20" s="21"/>
      <c r="DWA20" s="21"/>
      <c r="DWB20" s="21"/>
      <c r="DWC20" s="21"/>
      <c r="DWD20" s="21"/>
      <c r="DWE20" s="21"/>
      <c r="DWF20" s="21"/>
      <c r="DWG20" s="21"/>
      <c r="DWH20" s="21"/>
      <c r="DWI20" s="21"/>
      <c r="DWJ20" s="21"/>
      <c r="DWK20" s="21"/>
      <c r="DWL20" s="21"/>
      <c r="DWM20" s="21"/>
      <c r="DWN20" s="21"/>
      <c r="DWO20" s="21"/>
      <c r="DWP20" s="21"/>
      <c r="DWQ20" s="21"/>
      <c r="DWR20" s="21"/>
      <c r="DWS20" s="21"/>
      <c r="DWT20" s="21"/>
      <c r="DWU20" s="21"/>
      <c r="DWV20" s="21"/>
      <c r="DWW20" s="21"/>
      <c r="DWX20" s="21"/>
      <c r="DWY20" s="21"/>
      <c r="DWZ20" s="21"/>
      <c r="DXA20" s="21"/>
      <c r="DXB20" s="21"/>
      <c r="DXC20" s="21"/>
      <c r="DXD20" s="21"/>
      <c r="DXE20" s="21"/>
      <c r="DXF20" s="21"/>
      <c r="DXG20" s="21"/>
      <c r="DXH20" s="21"/>
      <c r="DXI20" s="21"/>
      <c r="DXJ20" s="21"/>
      <c r="DXK20" s="21"/>
      <c r="DXL20" s="21"/>
      <c r="DXM20" s="21"/>
      <c r="DXN20" s="21"/>
      <c r="DXO20" s="21"/>
      <c r="DXP20" s="21"/>
      <c r="DXQ20" s="21"/>
      <c r="DXR20" s="21"/>
      <c r="DXS20" s="21"/>
      <c r="DXT20" s="21"/>
      <c r="DXU20" s="21"/>
      <c r="DXV20" s="21"/>
      <c r="DXW20" s="21"/>
      <c r="DXX20" s="21"/>
      <c r="DXY20" s="21"/>
      <c r="DXZ20" s="21"/>
      <c r="DYA20" s="21"/>
      <c r="DYB20" s="21"/>
      <c r="DYC20" s="21"/>
      <c r="DYD20" s="21"/>
      <c r="DYE20" s="21"/>
      <c r="DYF20" s="21"/>
      <c r="DYG20" s="21"/>
      <c r="DYH20" s="21"/>
      <c r="DYI20" s="21"/>
      <c r="DYJ20" s="21"/>
      <c r="DYK20" s="21"/>
      <c r="DYL20" s="21"/>
      <c r="DYM20" s="21"/>
      <c r="DYN20" s="21"/>
      <c r="DYO20" s="21"/>
      <c r="DYP20" s="21"/>
      <c r="DYQ20" s="21"/>
      <c r="DYR20" s="21"/>
      <c r="DYS20" s="21"/>
      <c r="DYT20" s="21"/>
      <c r="DYU20" s="21"/>
      <c r="DYV20" s="21"/>
      <c r="DYW20" s="21"/>
      <c r="DYX20" s="21"/>
      <c r="DYY20" s="21"/>
      <c r="DYZ20" s="21"/>
      <c r="DZA20" s="21"/>
      <c r="DZB20" s="21"/>
      <c r="DZC20" s="21"/>
      <c r="DZD20" s="21"/>
      <c r="DZE20" s="21"/>
      <c r="DZF20" s="21"/>
      <c r="DZG20" s="21"/>
      <c r="DZH20" s="21"/>
      <c r="DZI20" s="21"/>
      <c r="DZJ20" s="21"/>
      <c r="DZK20" s="21"/>
      <c r="DZL20" s="21"/>
      <c r="DZM20" s="21"/>
      <c r="DZN20" s="21"/>
      <c r="DZO20" s="21"/>
      <c r="DZP20" s="21"/>
      <c r="DZQ20" s="21"/>
      <c r="DZR20" s="21"/>
      <c r="DZS20" s="21"/>
      <c r="DZT20" s="21"/>
      <c r="DZU20" s="21"/>
      <c r="DZV20" s="21"/>
      <c r="DZW20" s="21"/>
      <c r="DZX20" s="21"/>
      <c r="DZY20" s="21"/>
      <c r="DZZ20" s="21"/>
      <c r="EAA20" s="21"/>
      <c r="EAB20" s="21"/>
      <c r="EAC20" s="21"/>
      <c r="EAD20" s="21"/>
      <c r="EAE20" s="21"/>
      <c r="EAF20" s="21"/>
      <c r="EAG20" s="21"/>
      <c r="EAH20" s="21"/>
      <c r="EAI20" s="21"/>
      <c r="EAJ20" s="21"/>
      <c r="EAK20" s="21"/>
      <c r="EAL20" s="21"/>
      <c r="EAM20" s="21"/>
      <c r="EAN20" s="21"/>
      <c r="EAO20" s="21"/>
      <c r="EAP20" s="21"/>
      <c r="EAQ20" s="21"/>
      <c r="EAR20" s="21"/>
      <c r="EAS20" s="21"/>
      <c r="EAT20" s="21"/>
      <c r="EAU20" s="21"/>
      <c r="EAV20" s="21"/>
      <c r="EAW20" s="21"/>
      <c r="EAX20" s="21"/>
      <c r="EAY20" s="21"/>
      <c r="EAZ20" s="21"/>
      <c r="EBA20" s="21"/>
      <c r="EBB20" s="21"/>
      <c r="EBC20" s="21"/>
      <c r="EBD20" s="21"/>
      <c r="EBE20" s="21"/>
      <c r="EBF20" s="21"/>
      <c r="EBG20" s="21"/>
      <c r="EBH20" s="21"/>
      <c r="EBI20" s="21"/>
      <c r="EBJ20" s="21"/>
      <c r="EBK20" s="21"/>
      <c r="EBL20" s="21"/>
      <c r="EBM20" s="21"/>
      <c r="EBN20" s="21"/>
      <c r="EBO20" s="21"/>
      <c r="EBP20" s="21"/>
      <c r="EBQ20" s="21"/>
      <c r="EBR20" s="21"/>
      <c r="EBS20" s="21"/>
      <c r="EBT20" s="21"/>
      <c r="EBU20" s="21"/>
      <c r="EBV20" s="21"/>
      <c r="EBW20" s="21"/>
      <c r="EBX20" s="21"/>
      <c r="EBY20" s="21"/>
      <c r="EBZ20" s="21"/>
      <c r="ECA20" s="21"/>
      <c r="ECB20" s="21"/>
      <c r="ECC20" s="21"/>
      <c r="ECD20" s="21"/>
      <c r="ECE20" s="21"/>
      <c r="ECF20" s="21"/>
      <c r="ECG20" s="21"/>
      <c r="ECH20" s="21"/>
      <c r="ECI20" s="21"/>
      <c r="ECJ20" s="21"/>
      <c r="ECK20" s="21"/>
      <c r="ECL20" s="21"/>
      <c r="ECM20" s="21"/>
      <c r="ECN20" s="21"/>
      <c r="ECO20" s="21"/>
      <c r="ECP20" s="21"/>
      <c r="ECQ20" s="21"/>
      <c r="ECR20" s="21"/>
      <c r="ECS20" s="21"/>
      <c r="ECT20" s="21"/>
      <c r="ECU20" s="21"/>
      <c r="ECV20" s="21"/>
      <c r="ECW20" s="21"/>
      <c r="ECX20" s="21"/>
      <c r="ECY20" s="21"/>
      <c r="ECZ20" s="21"/>
      <c r="EDA20" s="21"/>
      <c r="EDB20" s="21"/>
      <c r="EDC20" s="21"/>
      <c r="EDD20" s="21"/>
      <c r="EDE20" s="21"/>
      <c r="EDF20" s="21"/>
      <c r="EDG20" s="21"/>
      <c r="EDH20" s="21"/>
      <c r="EDI20" s="21"/>
      <c r="EDJ20" s="21"/>
      <c r="EDK20" s="21"/>
      <c r="EDL20" s="21"/>
      <c r="EDM20" s="21"/>
      <c r="EDN20" s="21"/>
      <c r="EDO20" s="21"/>
      <c r="EDP20" s="21"/>
      <c r="EDQ20" s="21"/>
      <c r="EDR20" s="21"/>
      <c r="EDS20" s="21"/>
      <c r="EDT20" s="21"/>
      <c r="EDU20" s="21"/>
      <c r="EDV20" s="21"/>
      <c r="EDW20" s="21"/>
      <c r="EDX20" s="21"/>
      <c r="EDY20" s="21"/>
      <c r="EDZ20" s="21"/>
      <c r="EEA20" s="21"/>
      <c r="EEB20" s="21"/>
      <c r="EEC20" s="21"/>
      <c r="EED20" s="21"/>
      <c r="EEE20" s="21"/>
      <c r="EEF20" s="21"/>
      <c r="EEG20" s="21"/>
      <c r="EEH20" s="21"/>
      <c r="EEI20" s="21"/>
      <c r="EEJ20" s="21"/>
      <c r="EEK20" s="21"/>
      <c r="EEL20" s="21"/>
      <c r="EEM20" s="21"/>
      <c r="EEN20" s="21"/>
      <c r="EEO20" s="21"/>
      <c r="EEP20" s="21"/>
      <c r="EEQ20" s="21"/>
      <c r="EER20" s="21"/>
      <c r="EES20" s="21"/>
      <c r="EET20" s="21"/>
      <c r="EEU20" s="21"/>
      <c r="EEV20" s="21"/>
      <c r="EEW20" s="21"/>
      <c r="EEX20" s="21"/>
      <c r="EEY20" s="21"/>
      <c r="EEZ20" s="21"/>
      <c r="EFA20" s="21"/>
      <c r="EFB20" s="21"/>
      <c r="EFC20" s="21"/>
      <c r="EFD20" s="21"/>
      <c r="EFE20" s="21"/>
      <c r="EFF20" s="21"/>
      <c r="EFG20" s="21"/>
      <c r="EFH20" s="21"/>
      <c r="EFI20" s="21"/>
      <c r="EFJ20" s="21"/>
      <c r="EFK20" s="21"/>
      <c r="EFL20" s="21"/>
      <c r="EFM20" s="21"/>
      <c r="EFN20" s="21"/>
      <c r="EFO20" s="21"/>
      <c r="EFP20" s="21"/>
      <c r="EFQ20" s="21"/>
      <c r="EFR20" s="21"/>
      <c r="EFS20" s="21"/>
      <c r="EFT20" s="21"/>
      <c r="EFU20" s="21"/>
      <c r="EFV20" s="21"/>
      <c r="EFW20" s="21"/>
      <c r="EFX20" s="21"/>
      <c r="EFY20" s="21"/>
      <c r="EFZ20" s="21"/>
      <c r="EGA20" s="21"/>
      <c r="EGB20" s="21"/>
      <c r="EGC20" s="21"/>
      <c r="EGD20" s="21"/>
      <c r="EGE20" s="21"/>
      <c r="EGF20" s="21"/>
      <c r="EGG20" s="21"/>
      <c r="EGH20" s="21"/>
      <c r="EGI20" s="21"/>
      <c r="EGJ20" s="21"/>
      <c r="EGK20" s="21"/>
      <c r="EGL20" s="21"/>
      <c r="EGM20" s="21"/>
      <c r="EGN20" s="21"/>
      <c r="EGO20" s="21"/>
      <c r="EGP20" s="21"/>
      <c r="EGQ20" s="21"/>
      <c r="EGR20" s="21"/>
      <c r="EGS20" s="21"/>
      <c r="EGT20" s="21"/>
      <c r="EGU20" s="21"/>
      <c r="EGV20" s="21"/>
      <c r="EGW20" s="21"/>
      <c r="EGX20" s="21"/>
      <c r="EGY20" s="21"/>
      <c r="EGZ20" s="21"/>
      <c r="EHA20" s="21"/>
      <c r="EHB20" s="21"/>
      <c r="EHC20" s="21"/>
      <c r="EHD20" s="21"/>
      <c r="EHE20" s="21"/>
      <c r="EHF20" s="21"/>
      <c r="EHG20" s="21"/>
      <c r="EHH20" s="21"/>
      <c r="EHI20" s="21"/>
      <c r="EHJ20" s="21"/>
      <c r="EHK20" s="21"/>
      <c r="EHL20" s="21"/>
      <c r="EHM20" s="21"/>
      <c r="EHN20" s="21"/>
      <c r="EHO20" s="21"/>
      <c r="EHP20" s="21"/>
      <c r="EHQ20" s="21"/>
      <c r="EHR20" s="21"/>
      <c r="EHS20" s="21"/>
      <c r="EHT20" s="21"/>
      <c r="EHU20" s="21"/>
      <c r="EHV20" s="21"/>
      <c r="EHW20" s="21"/>
      <c r="EHX20" s="21"/>
      <c r="EHY20" s="21"/>
      <c r="EHZ20" s="21"/>
      <c r="EIA20" s="21"/>
      <c r="EIB20" s="21"/>
      <c r="EIC20" s="21"/>
      <c r="EID20" s="21"/>
      <c r="EIE20" s="21"/>
      <c r="EIF20" s="21"/>
      <c r="EIG20" s="21"/>
      <c r="EIH20" s="21"/>
      <c r="EII20" s="21"/>
      <c r="EIJ20" s="21"/>
      <c r="EIK20" s="21"/>
      <c r="EIL20" s="21"/>
      <c r="EIM20" s="21"/>
      <c r="EIN20" s="21"/>
      <c r="EIO20" s="21"/>
      <c r="EIP20" s="21"/>
      <c r="EIQ20" s="21"/>
      <c r="EIR20" s="21"/>
      <c r="EIS20" s="21"/>
      <c r="EIT20" s="21"/>
      <c r="EIU20" s="21"/>
      <c r="EIV20" s="21"/>
      <c r="EIW20" s="21"/>
      <c r="EIX20" s="21"/>
      <c r="EIY20" s="21"/>
      <c r="EIZ20" s="21"/>
      <c r="EJA20" s="21"/>
      <c r="EJB20" s="21"/>
      <c r="EJC20" s="21"/>
      <c r="EJD20" s="21"/>
      <c r="EJE20" s="21"/>
      <c r="EJF20" s="21"/>
      <c r="EJG20" s="21"/>
      <c r="EJH20" s="21"/>
      <c r="EJI20" s="21"/>
      <c r="EJJ20" s="21"/>
      <c r="EJK20" s="21"/>
      <c r="EJL20" s="21"/>
      <c r="EJM20" s="21"/>
      <c r="EJN20" s="21"/>
      <c r="EJO20" s="21"/>
      <c r="EJP20" s="21"/>
      <c r="EJQ20" s="21"/>
      <c r="EJR20" s="21"/>
      <c r="EJS20" s="21"/>
      <c r="EJT20" s="21"/>
      <c r="EJU20" s="21"/>
      <c r="EJV20" s="21"/>
      <c r="EJW20" s="21"/>
      <c r="EJX20" s="21"/>
      <c r="EJY20" s="21"/>
      <c r="EJZ20" s="21"/>
      <c r="EKA20" s="21"/>
      <c r="EKB20" s="21"/>
      <c r="EKC20" s="21"/>
      <c r="EKD20" s="21"/>
      <c r="EKE20" s="21"/>
      <c r="EKF20" s="21"/>
      <c r="EKG20" s="21"/>
      <c r="EKH20" s="21"/>
      <c r="EKI20" s="21"/>
      <c r="EKJ20" s="21"/>
      <c r="EKK20" s="21"/>
      <c r="EKL20" s="21"/>
      <c r="EKM20" s="21"/>
      <c r="EKN20" s="21"/>
      <c r="EKO20" s="21"/>
      <c r="EKP20" s="21"/>
      <c r="EKQ20" s="21"/>
      <c r="EKR20" s="21"/>
      <c r="EKS20" s="21"/>
      <c r="EKT20" s="21"/>
      <c r="EKU20" s="21"/>
      <c r="EKV20" s="21"/>
      <c r="EKW20" s="21"/>
      <c r="EKX20" s="21"/>
      <c r="EKY20" s="21"/>
      <c r="EKZ20" s="21"/>
      <c r="ELA20" s="21"/>
      <c r="ELB20" s="21"/>
      <c r="ELC20" s="21"/>
      <c r="ELD20" s="21"/>
      <c r="ELE20" s="21"/>
      <c r="ELF20" s="21"/>
      <c r="ELG20" s="21"/>
      <c r="ELH20" s="21"/>
      <c r="ELI20" s="21"/>
      <c r="ELJ20" s="21"/>
      <c r="ELK20" s="21"/>
      <c r="ELL20" s="21"/>
      <c r="ELM20" s="21"/>
      <c r="ELN20" s="21"/>
      <c r="ELO20" s="21"/>
      <c r="ELP20" s="21"/>
      <c r="ELQ20" s="21"/>
      <c r="ELR20" s="21"/>
      <c r="ELS20" s="21"/>
      <c r="ELT20" s="21"/>
      <c r="ELU20" s="21"/>
      <c r="ELV20" s="21"/>
      <c r="ELW20" s="21"/>
      <c r="ELX20" s="21"/>
      <c r="ELY20" s="21"/>
      <c r="ELZ20" s="21"/>
      <c r="EMA20" s="21"/>
      <c r="EMB20" s="21"/>
      <c r="EMC20" s="21"/>
      <c r="EMD20" s="21"/>
      <c r="EME20" s="21"/>
      <c r="EMF20" s="21"/>
      <c r="EMG20" s="21"/>
      <c r="EMH20" s="21"/>
      <c r="EMI20" s="21"/>
      <c r="EMJ20" s="21"/>
      <c r="EMK20" s="21"/>
      <c r="EML20" s="21"/>
      <c r="EMM20" s="21"/>
      <c r="EMN20" s="21"/>
      <c r="EMO20" s="21"/>
      <c r="EMP20" s="21"/>
      <c r="EMQ20" s="21"/>
      <c r="EMR20" s="21"/>
      <c r="EMS20" s="21"/>
      <c r="EMT20" s="21"/>
      <c r="EMU20" s="21"/>
      <c r="EMV20" s="21"/>
      <c r="EMW20" s="21"/>
      <c r="EMX20" s="21"/>
      <c r="EMY20" s="21"/>
      <c r="EMZ20" s="21"/>
      <c r="ENA20" s="21"/>
      <c r="ENB20" s="21"/>
      <c r="ENC20" s="21"/>
      <c r="END20" s="21"/>
      <c r="ENE20" s="21"/>
      <c r="ENF20" s="21"/>
      <c r="ENG20" s="21"/>
      <c r="ENH20" s="21"/>
      <c r="ENI20" s="21"/>
      <c r="ENJ20" s="21"/>
      <c r="ENK20" s="21"/>
      <c r="ENL20" s="21"/>
      <c r="ENM20" s="21"/>
      <c r="ENN20" s="21"/>
      <c r="ENO20" s="21"/>
      <c r="ENP20" s="21"/>
      <c r="ENQ20" s="21"/>
      <c r="ENR20" s="21"/>
      <c r="ENS20" s="21"/>
      <c r="ENT20" s="21"/>
      <c r="ENU20" s="21"/>
      <c r="ENV20" s="21"/>
      <c r="ENW20" s="21"/>
      <c r="ENX20" s="21"/>
      <c r="ENY20" s="21"/>
      <c r="ENZ20" s="21"/>
      <c r="EOA20" s="21"/>
      <c r="EOB20" s="21"/>
      <c r="EOC20" s="21"/>
      <c r="EOD20" s="21"/>
      <c r="EOE20" s="21"/>
      <c r="EOF20" s="21"/>
      <c r="EOG20" s="21"/>
      <c r="EOH20" s="21"/>
      <c r="EOI20" s="21"/>
      <c r="EOJ20" s="21"/>
      <c r="EOK20" s="21"/>
      <c r="EOL20" s="21"/>
      <c r="EOM20" s="21"/>
      <c r="EON20" s="21"/>
      <c r="EOO20" s="21"/>
      <c r="EOP20" s="21"/>
      <c r="EOQ20" s="21"/>
      <c r="EOR20" s="21"/>
      <c r="EOS20" s="21"/>
      <c r="EOT20" s="21"/>
      <c r="EOU20" s="21"/>
      <c r="EOV20" s="21"/>
      <c r="EOW20" s="21"/>
      <c r="EOX20" s="21"/>
      <c r="EOY20" s="21"/>
      <c r="EOZ20" s="21"/>
      <c r="EPA20" s="21"/>
      <c r="EPB20" s="21"/>
      <c r="EPC20" s="21"/>
      <c r="EPD20" s="21"/>
      <c r="EPE20" s="21"/>
      <c r="EPF20" s="21"/>
      <c r="EPG20" s="21"/>
      <c r="EPH20" s="21"/>
      <c r="EPI20" s="21"/>
      <c r="EPJ20" s="21"/>
      <c r="EPK20" s="21"/>
      <c r="EPL20" s="21"/>
      <c r="EPM20" s="21"/>
      <c r="EPN20" s="21"/>
      <c r="EPO20" s="21"/>
      <c r="EPP20" s="21"/>
      <c r="EPQ20" s="21"/>
      <c r="EPR20" s="21"/>
      <c r="EPS20" s="21"/>
      <c r="EPT20" s="21"/>
      <c r="EPU20" s="21"/>
      <c r="EPV20" s="21"/>
      <c r="EPW20" s="21"/>
      <c r="EPX20" s="21"/>
      <c r="EPY20" s="21"/>
      <c r="EPZ20" s="21"/>
      <c r="EQA20" s="21"/>
      <c r="EQB20" s="21"/>
      <c r="EQC20" s="21"/>
      <c r="EQD20" s="21"/>
      <c r="EQE20" s="21"/>
      <c r="EQF20" s="21"/>
      <c r="EQG20" s="21"/>
      <c r="EQH20" s="21"/>
      <c r="EQI20" s="21"/>
      <c r="EQJ20" s="21"/>
      <c r="EQK20" s="21"/>
      <c r="EQL20" s="21"/>
      <c r="EQM20" s="21"/>
      <c r="EQN20" s="21"/>
      <c r="EQO20" s="21"/>
      <c r="EQP20" s="21"/>
      <c r="EQQ20" s="21"/>
      <c r="EQR20" s="21"/>
      <c r="EQS20" s="21"/>
      <c r="EQT20" s="21"/>
      <c r="EQU20" s="21"/>
      <c r="EQV20" s="21"/>
      <c r="EQW20" s="21"/>
      <c r="EQX20" s="21"/>
      <c r="EQY20" s="21"/>
      <c r="EQZ20" s="21"/>
      <c r="ERA20" s="21"/>
      <c r="ERB20" s="21"/>
      <c r="ERC20" s="21"/>
      <c r="ERD20" s="21"/>
      <c r="ERE20" s="21"/>
      <c r="ERF20" s="21"/>
      <c r="ERG20" s="21"/>
      <c r="ERH20" s="21"/>
      <c r="ERI20" s="21"/>
      <c r="ERJ20" s="21"/>
      <c r="ERK20" s="21"/>
      <c r="ERL20" s="21"/>
      <c r="ERM20" s="21"/>
      <c r="ERN20" s="21"/>
      <c r="ERO20" s="21"/>
      <c r="ERP20" s="21"/>
      <c r="ERQ20" s="21"/>
      <c r="ERR20" s="21"/>
      <c r="ERS20" s="21"/>
      <c r="ERT20" s="21"/>
      <c r="ERU20" s="21"/>
      <c r="ERV20" s="21"/>
      <c r="ERW20" s="21"/>
      <c r="ERX20" s="21"/>
      <c r="ERY20" s="21"/>
      <c r="ERZ20" s="21"/>
      <c r="ESA20" s="21"/>
      <c r="ESB20" s="21"/>
      <c r="ESC20" s="21"/>
      <c r="ESD20" s="21"/>
      <c r="ESE20" s="21"/>
      <c r="ESF20" s="21"/>
      <c r="ESG20" s="21"/>
      <c r="ESH20" s="21"/>
      <c r="ESI20" s="21"/>
      <c r="ESJ20" s="21"/>
      <c r="ESK20" s="21"/>
      <c r="ESL20" s="21"/>
      <c r="ESM20" s="21"/>
      <c r="ESN20" s="21"/>
      <c r="ESO20" s="21"/>
      <c r="ESP20" s="21"/>
      <c r="ESQ20" s="21"/>
      <c r="ESR20" s="21"/>
      <c r="ESS20" s="21"/>
      <c r="EST20" s="21"/>
      <c r="ESU20" s="21"/>
      <c r="ESV20" s="21"/>
      <c r="ESW20" s="21"/>
      <c r="ESX20" s="21"/>
      <c r="ESY20" s="21"/>
      <c r="ESZ20" s="21"/>
      <c r="ETA20" s="21"/>
      <c r="ETB20" s="21"/>
      <c r="ETC20" s="21"/>
      <c r="ETD20" s="21"/>
      <c r="ETE20" s="21"/>
      <c r="ETF20" s="21"/>
      <c r="ETG20" s="21"/>
      <c r="ETH20" s="21"/>
      <c r="ETI20" s="21"/>
      <c r="ETJ20" s="21"/>
      <c r="ETK20" s="21"/>
      <c r="ETL20" s="21"/>
      <c r="ETM20" s="21"/>
      <c r="ETN20" s="21"/>
      <c r="ETO20" s="21"/>
      <c r="ETP20" s="21"/>
      <c r="ETQ20" s="21"/>
      <c r="ETR20" s="21"/>
      <c r="ETS20" s="21"/>
      <c r="ETT20" s="21"/>
      <c r="ETU20" s="21"/>
      <c r="ETV20" s="21"/>
      <c r="ETW20" s="21"/>
      <c r="ETX20" s="21"/>
      <c r="ETY20" s="21"/>
      <c r="ETZ20" s="21"/>
      <c r="EUA20" s="21"/>
      <c r="EUB20" s="21"/>
      <c r="EUC20" s="21"/>
      <c r="EUD20" s="21"/>
      <c r="EUE20" s="21"/>
      <c r="EUF20" s="21"/>
      <c r="EUG20" s="21"/>
      <c r="EUH20" s="21"/>
      <c r="EUI20" s="21"/>
      <c r="EUJ20" s="21"/>
      <c r="EUK20" s="21"/>
      <c r="EUL20" s="21"/>
      <c r="EUM20" s="21"/>
      <c r="EUN20" s="21"/>
      <c r="EUO20" s="21"/>
      <c r="EUP20" s="21"/>
      <c r="EUQ20" s="21"/>
      <c r="EUR20" s="21"/>
      <c r="EUS20" s="21"/>
      <c r="EUT20" s="21"/>
      <c r="EUU20" s="21"/>
      <c r="EUV20" s="21"/>
      <c r="EUW20" s="21"/>
      <c r="EUX20" s="21"/>
      <c r="EUY20" s="21"/>
      <c r="EUZ20" s="21"/>
      <c r="EVA20" s="21"/>
      <c r="EVB20" s="21"/>
      <c r="EVC20" s="21"/>
      <c r="EVD20" s="21"/>
      <c r="EVE20" s="21"/>
      <c r="EVF20" s="21"/>
      <c r="EVG20" s="21"/>
      <c r="EVH20" s="21"/>
      <c r="EVI20" s="21"/>
      <c r="EVJ20" s="21"/>
      <c r="EVK20" s="21"/>
      <c r="EVL20" s="21"/>
      <c r="EVM20" s="21"/>
      <c r="EVN20" s="21"/>
      <c r="EVO20" s="21"/>
      <c r="EVP20" s="21"/>
      <c r="EVQ20" s="21"/>
      <c r="EVR20" s="21"/>
      <c r="EVS20" s="21"/>
      <c r="EVT20" s="21"/>
      <c r="EVU20" s="21"/>
      <c r="EVV20" s="21"/>
      <c r="EVW20" s="21"/>
      <c r="EVX20" s="21"/>
      <c r="EVY20" s="21"/>
      <c r="EVZ20" s="21"/>
      <c r="EWA20" s="21"/>
      <c r="EWB20" s="21"/>
      <c r="EWC20" s="21"/>
      <c r="EWD20" s="21"/>
      <c r="EWE20" s="21"/>
      <c r="EWF20" s="21"/>
      <c r="EWG20" s="21"/>
      <c r="EWH20" s="21"/>
      <c r="EWI20" s="21"/>
      <c r="EWJ20" s="21"/>
      <c r="EWK20" s="21"/>
      <c r="EWL20" s="21"/>
      <c r="EWM20" s="21"/>
      <c r="EWN20" s="21"/>
      <c r="EWO20" s="21"/>
      <c r="EWP20" s="21"/>
      <c r="EWQ20" s="21"/>
      <c r="EWR20" s="21"/>
      <c r="EWS20" s="21"/>
      <c r="EWT20" s="21"/>
      <c r="EWU20" s="21"/>
      <c r="EWV20" s="21"/>
      <c r="EWW20" s="21"/>
      <c r="EWX20" s="21"/>
      <c r="EWY20" s="21"/>
      <c r="EWZ20" s="21"/>
      <c r="EXA20" s="21"/>
      <c r="EXB20" s="21"/>
      <c r="EXC20" s="21"/>
      <c r="EXD20" s="21"/>
      <c r="EXE20" s="21"/>
      <c r="EXF20" s="21"/>
      <c r="EXG20" s="21"/>
      <c r="EXH20" s="21"/>
      <c r="EXI20" s="21"/>
      <c r="EXJ20" s="21"/>
      <c r="EXK20" s="21"/>
      <c r="EXL20" s="21"/>
      <c r="EXM20" s="21"/>
      <c r="EXN20" s="21"/>
      <c r="EXO20" s="21"/>
      <c r="EXP20" s="21"/>
      <c r="EXQ20" s="21"/>
      <c r="EXR20" s="21"/>
      <c r="EXS20" s="21"/>
      <c r="EXT20" s="21"/>
      <c r="EXU20" s="21"/>
      <c r="EXV20" s="21"/>
      <c r="EXW20" s="21"/>
      <c r="EXX20" s="21"/>
      <c r="EXY20" s="21"/>
      <c r="EXZ20" s="21"/>
      <c r="EYA20" s="21"/>
      <c r="EYB20" s="21"/>
      <c r="EYC20" s="21"/>
      <c r="EYD20" s="21"/>
      <c r="EYE20" s="21"/>
      <c r="EYF20" s="21"/>
      <c r="EYG20" s="21"/>
      <c r="EYH20" s="21"/>
      <c r="EYI20" s="21"/>
      <c r="EYJ20" s="21"/>
      <c r="EYK20" s="21"/>
      <c r="EYL20" s="21"/>
      <c r="EYM20" s="21"/>
      <c r="EYN20" s="21"/>
      <c r="EYO20" s="21"/>
      <c r="EYP20" s="21"/>
      <c r="EYQ20" s="21"/>
      <c r="EYR20" s="21"/>
      <c r="EYS20" s="21"/>
      <c r="EYT20" s="21"/>
      <c r="EYU20" s="21"/>
      <c r="EYV20" s="21"/>
      <c r="EYW20" s="21"/>
      <c r="EYX20" s="21"/>
      <c r="EYY20" s="21"/>
      <c r="EYZ20" s="21"/>
      <c r="EZA20" s="21"/>
      <c r="EZB20" s="21"/>
      <c r="EZC20" s="21"/>
      <c r="EZD20" s="21"/>
      <c r="EZE20" s="21"/>
      <c r="EZF20" s="21"/>
      <c r="EZG20" s="21"/>
      <c r="EZH20" s="21"/>
      <c r="EZI20" s="21"/>
      <c r="EZJ20" s="21"/>
      <c r="EZK20" s="21"/>
      <c r="EZL20" s="21"/>
      <c r="EZM20" s="21"/>
      <c r="EZN20" s="21"/>
      <c r="EZO20" s="21"/>
      <c r="EZP20" s="21"/>
      <c r="EZQ20" s="21"/>
      <c r="EZR20" s="21"/>
      <c r="EZS20" s="21"/>
      <c r="EZT20" s="21"/>
      <c r="EZU20" s="21"/>
      <c r="EZV20" s="21"/>
      <c r="EZW20" s="21"/>
      <c r="EZX20" s="21"/>
      <c r="EZY20" s="21"/>
      <c r="EZZ20" s="21"/>
      <c r="FAA20" s="21"/>
      <c r="FAB20" s="21"/>
      <c r="FAC20" s="21"/>
      <c r="FAD20" s="21"/>
      <c r="FAE20" s="21"/>
      <c r="FAF20" s="21"/>
      <c r="FAG20" s="21"/>
      <c r="FAH20" s="21"/>
      <c r="FAI20" s="21"/>
      <c r="FAJ20" s="21"/>
      <c r="FAK20" s="21"/>
      <c r="FAL20" s="21"/>
      <c r="FAM20" s="21"/>
      <c r="FAN20" s="21"/>
      <c r="FAO20" s="21"/>
      <c r="FAP20" s="21"/>
      <c r="FAQ20" s="21"/>
      <c r="FAR20" s="21"/>
      <c r="FAS20" s="21"/>
      <c r="FAT20" s="21"/>
      <c r="FAU20" s="21"/>
      <c r="FAV20" s="21"/>
      <c r="FAW20" s="21"/>
      <c r="FAX20" s="21"/>
      <c r="FAY20" s="21"/>
      <c r="FAZ20" s="21"/>
      <c r="FBA20" s="21"/>
      <c r="FBB20" s="21"/>
      <c r="FBC20" s="21"/>
      <c r="FBD20" s="21"/>
      <c r="FBE20" s="21"/>
      <c r="FBF20" s="21"/>
      <c r="FBG20" s="21"/>
      <c r="FBH20" s="21"/>
      <c r="FBI20" s="21"/>
      <c r="FBJ20" s="21"/>
      <c r="FBK20" s="21"/>
      <c r="FBL20" s="21"/>
      <c r="FBM20" s="21"/>
      <c r="FBN20" s="21"/>
      <c r="FBO20" s="21"/>
      <c r="FBP20" s="21"/>
      <c r="FBQ20" s="21"/>
      <c r="FBR20" s="21"/>
      <c r="FBS20" s="21"/>
      <c r="FBT20" s="21"/>
      <c r="FBU20" s="21"/>
      <c r="FBV20" s="21"/>
      <c r="FBW20" s="21"/>
      <c r="FBX20" s="21"/>
      <c r="FBY20" s="21"/>
      <c r="FBZ20" s="21"/>
      <c r="FCA20" s="21"/>
      <c r="FCB20" s="21"/>
      <c r="FCC20" s="21"/>
      <c r="FCD20" s="21"/>
      <c r="FCE20" s="21"/>
      <c r="FCF20" s="21"/>
      <c r="FCG20" s="21"/>
      <c r="FCH20" s="21"/>
      <c r="FCI20" s="21"/>
      <c r="FCJ20" s="21"/>
      <c r="FCK20" s="21"/>
      <c r="FCL20" s="21"/>
      <c r="FCM20" s="21"/>
      <c r="FCN20" s="21"/>
      <c r="FCO20" s="21"/>
      <c r="FCP20" s="21"/>
      <c r="FCQ20" s="21"/>
      <c r="FCR20" s="21"/>
      <c r="FCS20" s="21"/>
      <c r="FCT20" s="21"/>
      <c r="FCU20" s="21"/>
      <c r="FCV20" s="21"/>
      <c r="FCW20" s="21"/>
      <c r="FCX20" s="21"/>
      <c r="FCY20" s="21"/>
      <c r="FCZ20" s="21"/>
      <c r="FDA20" s="21"/>
      <c r="FDB20" s="21"/>
      <c r="FDC20" s="21"/>
      <c r="FDD20" s="21"/>
      <c r="FDE20" s="21"/>
      <c r="FDF20" s="21"/>
      <c r="FDG20" s="21"/>
      <c r="FDH20" s="21"/>
      <c r="FDI20" s="21"/>
      <c r="FDJ20" s="21"/>
      <c r="FDK20" s="21"/>
      <c r="FDL20" s="21"/>
      <c r="FDM20" s="21"/>
      <c r="FDN20" s="21"/>
      <c r="FDO20" s="21"/>
      <c r="FDP20" s="21"/>
      <c r="FDQ20" s="21"/>
      <c r="FDR20" s="21"/>
      <c r="FDS20" s="21"/>
      <c r="FDT20" s="21"/>
      <c r="FDU20" s="21"/>
      <c r="FDV20" s="21"/>
      <c r="FDW20" s="21"/>
      <c r="FDX20" s="21"/>
      <c r="FDY20" s="21"/>
      <c r="FDZ20" s="21"/>
      <c r="FEA20" s="21"/>
      <c r="FEB20" s="21"/>
      <c r="FEC20" s="21"/>
      <c r="FED20" s="21"/>
      <c r="FEE20" s="21"/>
      <c r="FEF20" s="21"/>
      <c r="FEG20" s="21"/>
      <c r="FEH20" s="21"/>
      <c r="FEI20" s="21"/>
      <c r="FEJ20" s="21"/>
      <c r="FEK20" s="21"/>
      <c r="FEL20" s="21"/>
      <c r="FEM20" s="21"/>
      <c r="FEN20" s="21"/>
      <c r="FEO20" s="21"/>
      <c r="FEP20" s="21"/>
      <c r="FEQ20" s="21"/>
      <c r="FER20" s="21"/>
      <c r="FES20" s="21"/>
      <c r="FET20" s="21"/>
      <c r="FEU20" s="21"/>
      <c r="FEV20" s="21"/>
      <c r="FEW20" s="21"/>
      <c r="FEX20" s="21"/>
      <c r="FEY20" s="21"/>
      <c r="FEZ20" s="21"/>
      <c r="FFA20" s="21"/>
      <c r="FFB20" s="21"/>
      <c r="FFC20" s="21"/>
      <c r="FFD20" s="21"/>
      <c r="FFE20" s="21"/>
      <c r="FFF20" s="21"/>
      <c r="FFG20" s="21"/>
      <c r="FFH20" s="21"/>
      <c r="FFI20" s="21"/>
      <c r="FFJ20" s="21"/>
      <c r="FFK20" s="21"/>
      <c r="FFL20" s="21"/>
      <c r="FFM20" s="21"/>
      <c r="FFN20" s="21"/>
      <c r="FFO20" s="21"/>
      <c r="FFP20" s="21"/>
      <c r="FFQ20" s="21"/>
      <c r="FFR20" s="21"/>
      <c r="FFS20" s="21"/>
      <c r="FFT20" s="21"/>
      <c r="FFU20" s="21"/>
      <c r="FFV20" s="21"/>
      <c r="FFW20" s="21"/>
      <c r="FFX20" s="21"/>
      <c r="FFY20" s="21"/>
      <c r="FFZ20" s="21"/>
      <c r="FGA20" s="21"/>
      <c r="FGB20" s="21"/>
      <c r="FGC20" s="21"/>
      <c r="FGD20" s="21"/>
      <c r="FGE20" s="21"/>
      <c r="FGF20" s="21"/>
      <c r="FGG20" s="21"/>
      <c r="FGH20" s="21"/>
      <c r="FGI20" s="21"/>
      <c r="FGJ20" s="21"/>
      <c r="FGK20" s="21"/>
      <c r="FGL20" s="21"/>
      <c r="FGM20" s="21"/>
      <c r="FGN20" s="21"/>
      <c r="FGO20" s="21"/>
      <c r="FGP20" s="21"/>
      <c r="FGQ20" s="21"/>
      <c r="FGR20" s="21"/>
      <c r="FGS20" s="21"/>
      <c r="FGT20" s="21"/>
      <c r="FGU20" s="21"/>
      <c r="FGV20" s="21"/>
      <c r="FGW20" s="21"/>
      <c r="FGX20" s="21"/>
      <c r="FGY20" s="21"/>
      <c r="FGZ20" s="21"/>
      <c r="FHA20" s="21"/>
      <c r="FHB20" s="21"/>
      <c r="FHC20" s="21"/>
      <c r="FHD20" s="21"/>
      <c r="FHE20" s="21"/>
      <c r="FHF20" s="21"/>
      <c r="FHG20" s="21"/>
      <c r="FHH20" s="21"/>
      <c r="FHI20" s="21"/>
      <c r="FHJ20" s="21"/>
      <c r="FHK20" s="21"/>
      <c r="FHL20" s="21"/>
      <c r="FHM20" s="21"/>
      <c r="FHN20" s="21"/>
      <c r="FHO20" s="21"/>
      <c r="FHP20" s="21"/>
      <c r="FHQ20" s="21"/>
      <c r="FHR20" s="21"/>
      <c r="FHS20" s="21"/>
      <c r="FHT20" s="21"/>
      <c r="FHU20" s="21"/>
      <c r="FHV20" s="21"/>
      <c r="FHW20" s="21"/>
      <c r="FHX20" s="21"/>
      <c r="FHY20" s="21"/>
      <c r="FHZ20" s="21"/>
      <c r="FIA20" s="21"/>
      <c r="FIB20" s="21"/>
      <c r="FIC20" s="21"/>
      <c r="FID20" s="21"/>
      <c r="FIE20" s="21"/>
      <c r="FIF20" s="21"/>
      <c r="FIG20" s="21"/>
      <c r="FIH20" s="21"/>
      <c r="FII20" s="21"/>
      <c r="FIJ20" s="21"/>
      <c r="FIK20" s="21"/>
      <c r="FIL20" s="21"/>
      <c r="FIM20" s="21"/>
      <c r="FIN20" s="21"/>
      <c r="FIO20" s="21"/>
      <c r="FIP20" s="21"/>
      <c r="FIQ20" s="21"/>
      <c r="FIR20" s="21"/>
      <c r="FIS20" s="21"/>
      <c r="FIT20" s="21"/>
      <c r="FIU20" s="21"/>
      <c r="FIV20" s="21"/>
      <c r="FIW20" s="21"/>
      <c r="FIX20" s="21"/>
      <c r="FIY20" s="21"/>
      <c r="FIZ20" s="21"/>
      <c r="FJA20" s="21"/>
      <c r="FJB20" s="21"/>
      <c r="FJC20" s="21"/>
      <c r="FJD20" s="21"/>
      <c r="FJE20" s="21"/>
      <c r="FJF20" s="21"/>
      <c r="FJG20" s="21"/>
      <c r="FJH20" s="21"/>
      <c r="FJI20" s="21"/>
      <c r="FJJ20" s="21"/>
      <c r="FJK20" s="21"/>
      <c r="FJL20" s="21"/>
      <c r="FJM20" s="21"/>
      <c r="FJN20" s="21"/>
      <c r="FJO20" s="21"/>
      <c r="FJP20" s="21"/>
      <c r="FJQ20" s="21"/>
      <c r="FJR20" s="21"/>
      <c r="FJS20" s="21"/>
      <c r="FJT20" s="21"/>
      <c r="FJU20" s="21"/>
      <c r="FJV20" s="21"/>
      <c r="FJW20" s="21"/>
      <c r="FJX20" s="21"/>
      <c r="FJY20" s="21"/>
      <c r="FJZ20" s="21"/>
      <c r="FKA20" s="21"/>
      <c r="FKB20" s="21"/>
      <c r="FKC20" s="21"/>
      <c r="FKD20" s="21"/>
      <c r="FKE20" s="21"/>
      <c r="FKF20" s="21"/>
      <c r="FKG20" s="21"/>
      <c r="FKH20" s="21"/>
      <c r="FKI20" s="21"/>
      <c r="FKJ20" s="21"/>
      <c r="FKK20" s="21"/>
      <c r="FKL20" s="21"/>
      <c r="FKM20" s="21"/>
      <c r="FKN20" s="21"/>
      <c r="FKO20" s="21"/>
      <c r="FKP20" s="21"/>
      <c r="FKQ20" s="21"/>
      <c r="FKR20" s="21"/>
      <c r="FKS20" s="21"/>
      <c r="FKT20" s="21"/>
      <c r="FKU20" s="21"/>
      <c r="FKV20" s="21"/>
      <c r="FKW20" s="21"/>
      <c r="FKX20" s="21"/>
      <c r="FKY20" s="21"/>
      <c r="FKZ20" s="21"/>
      <c r="FLA20" s="21"/>
      <c r="FLB20" s="21"/>
      <c r="FLC20" s="21"/>
      <c r="FLD20" s="21"/>
      <c r="FLE20" s="21"/>
      <c r="FLF20" s="21"/>
      <c r="FLG20" s="21"/>
      <c r="FLH20" s="21"/>
      <c r="FLI20" s="21"/>
      <c r="FLJ20" s="21"/>
      <c r="FLK20" s="21"/>
      <c r="FLL20" s="21"/>
      <c r="FLM20" s="21"/>
      <c r="FLN20" s="21"/>
      <c r="FLO20" s="21"/>
      <c r="FLP20" s="21"/>
      <c r="FLQ20" s="21"/>
      <c r="FLR20" s="21"/>
      <c r="FLS20" s="21"/>
      <c r="FLT20" s="21"/>
      <c r="FLU20" s="21"/>
      <c r="FLV20" s="21"/>
      <c r="FLW20" s="21"/>
      <c r="FLX20" s="21"/>
      <c r="FLY20" s="21"/>
      <c r="FLZ20" s="21"/>
      <c r="FMA20" s="21"/>
      <c r="FMB20" s="21"/>
      <c r="FMC20" s="21"/>
      <c r="FMD20" s="21"/>
      <c r="FME20" s="21"/>
      <c r="FMF20" s="21"/>
      <c r="FMG20" s="21"/>
      <c r="FMH20" s="21"/>
      <c r="FMI20" s="21"/>
      <c r="FMJ20" s="21"/>
      <c r="FMK20" s="21"/>
      <c r="FML20" s="21"/>
      <c r="FMM20" s="21"/>
      <c r="FMN20" s="21"/>
      <c r="FMO20" s="21"/>
      <c r="FMP20" s="21"/>
      <c r="FMQ20" s="21"/>
      <c r="FMR20" s="21"/>
      <c r="FMS20" s="21"/>
      <c r="FMT20" s="21"/>
      <c r="FMU20" s="21"/>
      <c r="FMV20" s="21"/>
      <c r="FMW20" s="21"/>
      <c r="FMX20" s="21"/>
      <c r="FMY20" s="21"/>
      <c r="FMZ20" s="21"/>
      <c r="FNA20" s="21"/>
      <c r="FNB20" s="21"/>
      <c r="FNC20" s="21"/>
      <c r="FND20" s="21"/>
      <c r="FNE20" s="21"/>
      <c r="FNF20" s="21"/>
      <c r="FNG20" s="21"/>
      <c r="FNH20" s="21"/>
      <c r="FNI20" s="21"/>
      <c r="FNJ20" s="21"/>
      <c r="FNK20" s="21"/>
      <c r="FNL20" s="21"/>
      <c r="FNM20" s="21"/>
      <c r="FNN20" s="21"/>
      <c r="FNO20" s="21"/>
      <c r="FNP20" s="21"/>
      <c r="FNQ20" s="21"/>
      <c r="FNR20" s="21"/>
      <c r="FNS20" s="21"/>
      <c r="FNT20" s="21"/>
      <c r="FNU20" s="21"/>
      <c r="FNV20" s="21"/>
      <c r="FNW20" s="21"/>
      <c r="FNX20" s="21"/>
      <c r="FNY20" s="21"/>
      <c r="FNZ20" s="21"/>
      <c r="FOA20" s="21"/>
      <c r="FOB20" s="21"/>
      <c r="FOC20" s="21"/>
      <c r="FOD20" s="21"/>
      <c r="FOE20" s="21"/>
      <c r="FOF20" s="21"/>
      <c r="FOG20" s="21"/>
      <c r="FOH20" s="21"/>
      <c r="FOI20" s="21"/>
      <c r="FOJ20" s="21"/>
      <c r="FOK20" s="21"/>
      <c r="FOL20" s="21"/>
      <c r="FOM20" s="21"/>
      <c r="FON20" s="21"/>
      <c r="FOO20" s="21"/>
      <c r="FOP20" s="21"/>
      <c r="FOQ20" s="21"/>
      <c r="FOR20" s="21"/>
      <c r="FOS20" s="21"/>
      <c r="FOT20" s="21"/>
      <c r="FOU20" s="21"/>
      <c r="FOV20" s="21"/>
      <c r="FOW20" s="21"/>
      <c r="FOX20" s="21"/>
      <c r="FOY20" s="21"/>
      <c r="FOZ20" s="21"/>
      <c r="FPA20" s="21"/>
      <c r="FPB20" s="21"/>
      <c r="FPC20" s="21"/>
      <c r="FPD20" s="21"/>
      <c r="FPE20" s="21"/>
      <c r="FPF20" s="21"/>
      <c r="FPG20" s="21"/>
      <c r="FPH20" s="21"/>
      <c r="FPI20" s="21"/>
      <c r="FPJ20" s="21"/>
      <c r="FPK20" s="21"/>
      <c r="FPL20" s="21"/>
      <c r="FPM20" s="21"/>
      <c r="FPN20" s="21"/>
      <c r="FPO20" s="21"/>
      <c r="FPP20" s="21"/>
      <c r="FPQ20" s="21"/>
      <c r="FPR20" s="21"/>
      <c r="FPS20" s="21"/>
      <c r="FPT20" s="21"/>
      <c r="FPU20" s="21"/>
      <c r="FPV20" s="21"/>
      <c r="FPW20" s="21"/>
      <c r="FPX20" s="21"/>
      <c r="FPY20" s="21"/>
      <c r="FPZ20" s="21"/>
      <c r="FQA20" s="21"/>
      <c r="FQB20" s="21"/>
      <c r="FQC20" s="21"/>
      <c r="FQD20" s="21"/>
      <c r="FQE20" s="21"/>
      <c r="FQF20" s="21"/>
      <c r="FQG20" s="21"/>
      <c r="FQH20" s="21"/>
      <c r="FQI20" s="21"/>
      <c r="FQJ20" s="21"/>
      <c r="FQK20" s="21"/>
      <c r="FQL20" s="21"/>
      <c r="FQM20" s="21"/>
      <c r="FQN20" s="21"/>
      <c r="FQO20" s="21"/>
      <c r="FQP20" s="21"/>
      <c r="FQQ20" s="21"/>
      <c r="FQR20" s="21"/>
      <c r="FQS20" s="21"/>
      <c r="FQT20" s="21"/>
      <c r="FQU20" s="21"/>
      <c r="FQV20" s="21"/>
      <c r="FQW20" s="21"/>
      <c r="FQX20" s="21"/>
      <c r="FQY20" s="21"/>
      <c r="FQZ20" s="21"/>
      <c r="FRA20" s="21"/>
      <c r="FRB20" s="21"/>
      <c r="FRC20" s="21"/>
      <c r="FRD20" s="21"/>
      <c r="FRE20" s="21"/>
      <c r="FRF20" s="21"/>
      <c r="FRG20" s="21"/>
      <c r="FRH20" s="21"/>
      <c r="FRI20" s="21"/>
      <c r="FRJ20" s="21"/>
      <c r="FRK20" s="21"/>
      <c r="FRL20" s="21"/>
      <c r="FRM20" s="21"/>
      <c r="FRN20" s="21"/>
      <c r="FRO20" s="21"/>
      <c r="FRP20" s="21"/>
      <c r="FRQ20" s="21"/>
      <c r="FRR20" s="21"/>
      <c r="FRS20" s="21"/>
      <c r="FRT20" s="21"/>
      <c r="FRU20" s="21"/>
      <c r="FRV20" s="21"/>
      <c r="FRW20" s="21"/>
      <c r="FRX20" s="21"/>
      <c r="FRY20" s="21"/>
      <c r="FRZ20" s="21"/>
      <c r="FSA20" s="21"/>
      <c r="FSB20" s="21"/>
      <c r="FSC20" s="21"/>
      <c r="FSD20" s="21"/>
      <c r="FSE20" s="21"/>
      <c r="FSF20" s="21"/>
      <c r="FSG20" s="21"/>
      <c r="FSH20" s="21"/>
      <c r="FSI20" s="21"/>
      <c r="FSJ20" s="21"/>
      <c r="FSK20" s="21"/>
      <c r="FSL20" s="21"/>
      <c r="FSM20" s="21"/>
      <c r="FSN20" s="21"/>
      <c r="FSO20" s="21"/>
      <c r="FSP20" s="21"/>
      <c r="FSQ20" s="21"/>
      <c r="FSR20" s="21"/>
      <c r="FSS20" s="21"/>
      <c r="FST20" s="21"/>
      <c r="FSU20" s="21"/>
      <c r="FSV20" s="21"/>
      <c r="FSW20" s="21"/>
      <c r="FSX20" s="21"/>
      <c r="FSY20" s="21"/>
      <c r="FSZ20" s="21"/>
      <c r="FTA20" s="21"/>
      <c r="FTB20" s="21"/>
      <c r="FTC20" s="21"/>
      <c r="FTD20" s="21"/>
      <c r="FTE20" s="21"/>
      <c r="FTF20" s="21"/>
      <c r="FTG20" s="21"/>
      <c r="FTH20" s="21"/>
      <c r="FTI20" s="21"/>
      <c r="FTJ20" s="21"/>
      <c r="FTK20" s="21"/>
      <c r="FTL20" s="21"/>
      <c r="FTM20" s="21"/>
      <c r="FTN20" s="21"/>
      <c r="FTO20" s="21"/>
      <c r="FTP20" s="21"/>
      <c r="FTQ20" s="21"/>
      <c r="FTR20" s="21"/>
      <c r="FTS20" s="21"/>
      <c r="FTT20" s="21"/>
      <c r="FTU20" s="21"/>
      <c r="FTV20" s="21"/>
      <c r="FTW20" s="21"/>
      <c r="FTX20" s="21"/>
      <c r="FTY20" s="21"/>
      <c r="FTZ20" s="21"/>
      <c r="FUA20" s="21"/>
      <c r="FUB20" s="21"/>
      <c r="FUC20" s="21"/>
      <c r="FUD20" s="21"/>
      <c r="FUE20" s="21"/>
      <c r="FUF20" s="21"/>
      <c r="FUG20" s="21"/>
      <c r="FUH20" s="21"/>
      <c r="FUI20" s="21"/>
      <c r="FUJ20" s="21"/>
      <c r="FUK20" s="21"/>
      <c r="FUL20" s="21"/>
      <c r="FUM20" s="21"/>
      <c r="FUN20" s="21"/>
      <c r="FUO20" s="21"/>
      <c r="FUP20" s="21"/>
      <c r="FUQ20" s="21"/>
      <c r="FUR20" s="21"/>
      <c r="FUS20" s="21"/>
      <c r="FUT20" s="21"/>
      <c r="FUU20" s="21"/>
      <c r="FUV20" s="21"/>
      <c r="FUW20" s="21"/>
      <c r="FUX20" s="21"/>
      <c r="FUY20" s="21"/>
      <c r="FUZ20" s="21"/>
      <c r="FVA20" s="21"/>
      <c r="FVB20" s="21"/>
      <c r="FVC20" s="21"/>
      <c r="FVD20" s="21"/>
      <c r="FVE20" s="21"/>
      <c r="FVF20" s="21"/>
      <c r="FVG20" s="21"/>
      <c r="FVH20" s="21"/>
      <c r="FVI20" s="21"/>
      <c r="FVJ20" s="21"/>
      <c r="FVK20" s="21"/>
      <c r="FVL20" s="21"/>
      <c r="FVM20" s="21"/>
      <c r="FVN20" s="21"/>
      <c r="FVO20" s="21"/>
      <c r="FVP20" s="21"/>
      <c r="FVQ20" s="21"/>
      <c r="FVR20" s="21"/>
      <c r="FVS20" s="21"/>
      <c r="FVT20" s="21"/>
      <c r="FVU20" s="21"/>
      <c r="FVV20" s="21"/>
      <c r="FVW20" s="21"/>
      <c r="FVX20" s="21"/>
      <c r="FVY20" s="21"/>
      <c r="FVZ20" s="21"/>
      <c r="FWA20" s="21"/>
      <c r="FWB20" s="21"/>
      <c r="FWC20" s="21"/>
      <c r="FWD20" s="21"/>
      <c r="FWE20" s="21"/>
      <c r="FWF20" s="21"/>
      <c r="FWG20" s="21"/>
      <c r="FWH20" s="21"/>
      <c r="FWI20" s="21"/>
      <c r="FWJ20" s="21"/>
      <c r="FWK20" s="21"/>
      <c r="FWL20" s="21"/>
      <c r="FWM20" s="21"/>
      <c r="FWN20" s="21"/>
      <c r="FWO20" s="21"/>
      <c r="FWP20" s="21"/>
      <c r="FWQ20" s="21"/>
      <c r="FWR20" s="21"/>
      <c r="FWS20" s="21"/>
      <c r="FWT20" s="21"/>
      <c r="FWU20" s="21"/>
      <c r="FWV20" s="21"/>
      <c r="FWW20" s="21"/>
      <c r="FWX20" s="21"/>
      <c r="FWY20" s="21"/>
      <c r="FWZ20" s="21"/>
      <c r="FXA20" s="21"/>
      <c r="FXB20" s="21"/>
      <c r="FXC20" s="21"/>
      <c r="FXD20" s="21"/>
      <c r="FXE20" s="21"/>
      <c r="FXF20" s="21"/>
      <c r="FXG20" s="21"/>
      <c r="FXH20" s="21"/>
      <c r="FXI20" s="21"/>
      <c r="FXJ20" s="21"/>
      <c r="FXK20" s="21"/>
      <c r="FXL20" s="21"/>
      <c r="FXM20" s="21"/>
      <c r="FXN20" s="21"/>
      <c r="FXO20" s="21"/>
      <c r="FXP20" s="21"/>
      <c r="FXQ20" s="21"/>
      <c r="FXR20" s="21"/>
      <c r="FXS20" s="21"/>
      <c r="FXT20" s="21"/>
      <c r="FXU20" s="21"/>
      <c r="FXV20" s="21"/>
      <c r="FXW20" s="21"/>
      <c r="FXX20" s="21"/>
      <c r="FXY20" s="21"/>
      <c r="FXZ20" s="21"/>
      <c r="FYA20" s="21"/>
      <c r="FYB20" s="21"/>
      <c r="FYC20" s="21"/>
      <c r="FYD20" s="21"/>
      <c r="FYE20" s="21"/>
      <c r="FYF20" s="21"/>
      <c r="FYG20" s="21"/>
      <c r="FYH20" s="21"/>
      <c r="FYI20" s="21"/>
      <c r="FYJ20" s="21"/>
      <c r="FYK20" s="21"/>
      <c r="FYL20" s="21"/>
      <c r="FYM20" s="21"/>
      <c r="FYN20" s="21"/>
      <c r="FYO20" s="21"/>
      <c r="FYP20" s="21"/>
      <c r="FYQ20" s="21"/>
      <c r="FYR20" s="21"/>
      <c r="FYS20" s="21"/>
      <c r="FYT20" s="21"/>
      <c r="FYU20" s="21"/>
      <c r="FYV20" s="21"/>
      <c r="FYW20" s="21"/>
      <c r="FYX20" s="21"/>
      <c r="FYY20" s="21"/>
      <c r="FYZ20" s="21"/>
      <c r="FZA20" s="21"/>
      <c r="FZB20" s="21"/>
      <c r="FZC20" s="21"/>
      <c r="FZD20" s="21"/>
      <c r="FZE20" s="21"/>
      <c r="FZF20" s="21"/>
      <c r="FZG20" s="21"/>
      <c r="FZH20" s="21"/>
      <c r="FZI20" s="21"/>
      <c r="FZJ20" s="21"/>
      <c r="FZK20" s="21"/>
      <c r="FZL20" s="21"/>
      <c r="FZM20" s="21"/>
      <c r="FZN20" s="21"/>
      <c r="FZO20" s="21"/>
      <c r="FZP20" s="21"/>
      <c r="FZQ20" s="21"/>
      <c r="FZR20" s="21"/>
      <c r="FZS20" s="21"/>
      <c r="FZT20" s="21"/>
      <c r="FZU20" s="21"/>
      <c r="FZV20" s="21"/>
      <c r="FZW20" s="21"/>
      <c r="FZX20" s="21"/>
      <c r="FZY20" s="21"/>
      <c r="FZZ20" s="21"/>
      <c r="GAA20" s="21"/>
      <c r="GAB20" s="21"/>
      <c r="GAC20" s="21"/>
      <c r="GAD20" s="21"/>
      <c r="GAE20" s="21"/>
      <c r="GAF20" s="21"/>
      <c r="GAG20" s="21"/>
      <c r="GAH20" s="21"/>
      <c r="GAI20" s="21"/>
      <c r="GAJ20" s="21"/>
      <c r="GAK20" s="21"/>
      <c r="GAL20" s="21"/>
      <c r="GAM20" s="21"/>
      <c r="GAN20" s="21"/>
      <c r="GAO20" s="21"/>
      <c r="GAP20" s="21"/>
      <c r="GAQ20" s="21"/>
      <c r="GAR20" s="21"/>
      <c r="GAS20" s="21"/>
      <c r="GAT20" s="21"/>
      <c r="GAU20" s="21"/>
      <c r="GAV20" s="21"/>
      <c r="GAW20" s="21"/>
      <c r="GAX20" s="21"/>
      <c r="GAY20" s="21"/>
      <c r="GAZ20" s="21"/>
      <c r="GBA20" s="21"/>
      <c r="GBB20" s="21"/>
      <c r="GBC20" s="21"/>
      <c r="GBD20" s="21"/>
      <c r="GBE20" s="21"/>
      <c r="GBF20" s="21"/>
      <c r="GBG20" s="21"/>
      <c r="GBH20" s="21"/>
      <c r="GBI20" s="21"/>
      <c r="GBJ20" s="21"/>
      <c r="GBK20" s="21"/>
      <c r="GBL20" s="21"/>
      <c r="GBM20" s="21"/>
      <c r="GBN20" s="21"/>
      <c r="GBO20" s="21"/>
      <c r="GBP20" s="21"/>
      <c r="GBQ20" s="21"/>
      <c r="GBR20" s="21"/>
      <c r="GBS20" s="21"/>
      <c r="GBT20" s="21"/>
      <c r="GBU20" s="21"/>
      <c r="GBV20" s="21"/>
      <c r="GBW20" s="21"/>
      <c r="GBX20" s="21"/>
      <c r="GBY20" s="21"/>
      <c r="GBZ20" s="21"/>
      <c r="GCA20" s="21"/>
      <c r="GCB20" s="21"/>
      <c r="GCC20" s="21"/>
      <c r="GCD20" s="21"/>
      <c r="GCE20" s="21"/>
      <c r="GCF20" s="21"/>
      <c r="GCG20" s="21"/>
      <c r="GCH20" s="21"/>
      <c r="GCI20" s="21"/>
      <c r="GCJ20" s="21"/>
      <c r="GCK20" s="21"/>
      <c r="GCL20" s="21"/>
      <c r="GCM20" s="21"/>
      <c r="GCN20" s="21"/>
      <c r="GCO20" s="21"/>
      <c r="GCP20" s="21"/>
      <c r="GCQ20" s="21"/>
      <c r="GCR20" s="21"/>
      <c r="GCS20" s="21"/>
      <c r="GCT20" s="21"/>
      <c r="GCU20" s="21"/>
      <c r="GCV20" s="21"/>
      <c r="GCW20" s="21"/>
      <c r="GCX20" s="21"/>
      <c r="GCY20" s="21"/>
      <c r="GCZ20" s="21"/>
      <c r="GDA20" s="21"/>
      <c r="GDB20" s="21"/>
      <c r="GDC20" s="21"/>
      <c r="GDD20" s="21"/>
      <c r="GDE20" s="21"/>
      <c r="GDF20" s="21"/>
      <c r="GDG20" s="21"/>
      <c r="GDH20" s="21"/>
      <c r="GDI20" s="21"/>
      <c r="GDJ20" s="21"/>
      <c r="GDK20" s="21"/>
      <c r="GDL20" s="21"/>
      <c r="GDM20" s="21"/>
      <c r="GDN20" s="21"/>
      <c r="GDO20" s="21"/>
      <c r="GDP20" s="21"/>
      <c r="GDQ20" s="21"/>
      <c r="GDR20" s="21"/>
      <c r="GDS20" s="21"/>
      <c r="GDT20" s="21"/>
      <c r="GDU20" s="21"/>
      <c r="GDV20" s="21"/>
      <c r="GDW20" s="21"/>
      <c r="GDX20" s="21"/>
      <c r="GDY20" s="21"/>
      <c r="GDZ20" s="21"/>
      <c r="GEA20" s="21"/>
      <c r="GEB20" s="21"/>
      <c r="GEC20" s="21"/>
      <c r="GED20" s="21"/>
      <c r="GEE20" s="21"/>
      <c r="GEF20" s="21"/>
      <c r="GEG20" s="21"/>
      <c r="GEH20" s="21"/>
      <c r="GEI20" s="21"/>
      <c r="GEJ20" s="21"/>
      <c r="GEK20" s="21"/>
      <c r="GEL20" s="21"/>
      <c r="GEM20" s="21"/>
      <c r="GEN20" s="21"/>
      <c r="GEO20" s="21"/>
      <c r="GEP20" s="21"/>
      <c r="GEQ20" s="21"/>
      <c r="GER20" s="21"/>
      <c r="GES20" s="21"/>
      <c r="GET20" s="21"/>
      <c r="GEU20" s="21"/>
      <c r="GEV20" s="21"/>
      <c r="GEW20" s="21"/>
      <c r="GEX20" s="21"/>
      <c r="GEY20" s="21"/>
      <c r="GEZ20" s="21"/>
      <c r="GFA20" s="21"/>
      <c r="GFB20" s="21"/>
      <c r="GFC20" s="21"/>
      <c r="GFD20" s="21"/>
      <c r="GFE20" s="21"/>
      <c r="GFF20" s="21"/>
      <c r="GFG20" s="21"/>
      <c r="GFH20" s="21"/>
      <c r="GFI20" s="21"/>
      <c r="GFJ20" s="21"/>
      <c r="GFK20" s="21"/>
      <c r="GFL20" s="21"/>
      <c r="GFM20" s="21"/>
      <c r="GFN20" s="21"/>
      <c r="GFO20" s="21"/>
      <c r="GFP20" s="21"/>
      <c r="GFQ20" s="21"/>
      <c r="GFR20" s="21"/>
      <c r="GFS20" s="21"/>
      <c r="GFT20" s="21"/>
      <c r="GFU20" s="21"/>
      <c r="GFV20" s="21"/>
      <c r="GFW20" s="21"/>
      <c r="GFX20" s="21"/>
      <c r="GFY20" s="21"/>
      <c r="GFZ20" s="21"/>
      <c r="GGA20" s="21"/>
      <c r="GGB20" s="21"/>
      <c r="GGC20" s="21"/>
      <c r="GGD20" s="21"/>
      <c r="GGE20" s="21"/>
      <c r="GGF20" s="21"/>
      <c r="GGG20" s="21"/>
      <c r="GGH20" s="21"/>
      <c r="GGI20" s="21"/>
      <c r="GGJ20" s="21"/>
      <c r="GGK20" s="21"/>
      <c r="GGL20" s="21"/>
      <c r="GGM20" s="21"/>
      <c r="GGN20" s="21"/>
      <c r="GGO20" s="21"/>
      <c r="GGP20" s="21"/>
      <c r="GGQ20" s="21"/>
      <c r="GGR20" s="21"/>
      <c r="GGS20" s="21"/>
      <c r="GGT20" s="21"/>
      <c r="GGU20" s="21"/>
      <c r="GGV20" s="21"/>
      <c r="GGW20" s="21"/>
      <c r="GGX20" s="21"/>
      <c r="GGY20" s="21"/>
      <c r="GGZ20" s="21"/>
      <c r="GHA20" s="21"/>
      <c r="GHB20" s="21"/>
      <c r="GHC20" s="21"/>
      <c r="GHD20" s="21"/>
      <c r="GHE20" s="21"/>
      <c r="GHF20" s="21"/>
      <c r="GHG20" s="21"/>
      <c r="GHH20" s="21"/>
      <c r="GHI20" s="21"/>
      <c r="GHJ20" s="21"/>
      <c r="GHK20" s="21"/>
      <c r="GHL20" s="21"/>
      <c r="GHM20" s="21"/>
      <c r="GHN20" s="21"/>
      <c r="GHO20" s="21"/>
      <c r="GHP20" s="21"/>
      <c r="GHQ20" s="21"/>
      <c r="GHR20" s="21"/>
      <c r="GHS20" s="21"/>
      <c r="GHT20" s="21"/>
      <c r="GHU20" s="21"/>
      <c r="GHV20" s="21"/>
      <c r="GHW20" s="21"/>
      <c r="GHX20" s="21"/>
      <c r="GHY20" s="21"/>
      <c r="GHZ20" s="21"/>
      <c r="GIA20" s="21"/>
      <c r="GIB20" s="21"/>
      <c r="GIC20" s="21"/>
      <c r="GID20" s="21"/>
      <c r="GIE20" s="21"/>
      <c r="GIF20" s="21"/>
      <c r="GIG20" s="21"/>
      <c r="GIH20" s="21"/>
      <c r="GII20" s="21"/>
      <c r="GIJ20" s="21"/>
      <c r="GIK20" s="21"/>
      <c r="GIL20" s="21"/>
      <c r="GIM20" s="21"/>
      <c r="GIN20" s="21"/>
      <c r="GIO20" s="21"/>
      <c r="GIP20" s="21"/>
      <c r="GIQ20" s="21"/>
      <c r="GIR20" s="21"/>
      <c r="GIS20" s="21"/>
      <c r="GIT20" s="21"/>
      <c r="GIU20" s="21"/>
      <c r="GIV20" s="21"/>
      <c r="GIW20" s="21"/>
      <c r="GIX20" s="21"/>
      <c r="GIY20" s="21"/>
      <c r="GIZ20" s="21"/>
      <c r="GJA20" s="21"/>
      <c r="GJB20" s="21"/>
      <c r="GJC20" s="21"/>
      <c r="GJD20" s="21"/>
      <c r="GJE20" s="21"/>
      <c r="GJF20" s="21"/>
      <c r="GJG20" s="21"/>
      <c r="GJH20" s="21"/>
      <c r="GJI20" s="21"/>
      <c r="GJJ20" s="21"/>
      <c r="GJK20" s="21"/>
      <c r="GJL20" s="21"/>
      <c r="GJM20" s="21"/>
      <c r="GJN20" s="21"/>
      <c r="GJO20" s="21"/>
      <c r="GJP20" s="21"/>
      <c r="GJQ20" s="21"/>
      <c r="GJR20" s="21"/>
      <c r="GJS20" s="21"/>
      <c r="GJT20" s="21"/>
      <c r="GJU20" s="21"/>
      <c r="GJV20" s="21"/>
      <c r="GJW20" s="21"/>
      <c r="GJX20" s="21"/>
      <c r="GJY20" s="21"/>
      <c r="GJZ20" s="21"/>
      <c r="GKA20" s="21"/>
      <c r="GKB20" s="21"/>
      <c r="GKC20" s="21"/>
      <c r="GKD20" s="21"/>
      <c r="GKE20" s="21"/>
      <c r="GKF20" s="21"/>
      <c r="GKG20" s="21"/>
      <c r="GKH20" s="21"/>
      <c r="GKI20" s="21"/>
      <c r="GKJ20" s="21"/>
      <c r="GKK20" s="21"/>
      <c r="GKL20" s="21"/>
      <c r="GKM20" s="21"/>
      <c r="GKN20" s="21"/>
      <c r="GKO20" s="21"/>
      <c r="GKP20" s="21"/>
      <c r="GKQ20" s="21"/>
      <c r="GKR20" s="21"/>
      <c r="GKS20" s="21"/>
      <c r="GKT20" s="21"/>
      <c r="GKU20" s="21"/>
      <c r="GKV20" s="21"/>
      <c r="GKW20" s="21"/>
      <c r="GKX20" s="21"/>
      <c r="GKY20" s="21"/>
      <c r="GKZ20" s="21"/>
      <c r="GLA20" s="21"/>
      <c r="GLB20" s="21"/>
      <c r="GLC20" s="21"/>
      <c r="GLD20" s="21"/>
      <c r="GLE20" s="21"/>
      <c r="GLF20" s="21"/>
      <c r="GLG20" s="21"/>
      <c r="GLH20" s="21"/>
      <c r="GLI20" s="21"/>
      <c r="GLJ20" s="21"/>
      <c r="GLK20" s="21"/>
      <c r="GLL20" s="21"/>
      <c r="GLM20" s="21"/>
      <c r="GLN20" s="21"/>
      <c r="GLO20" s="21"/>
      <c r="GLP20" s="21"/>
      <c r="GLQ20" s="21"/>
      <c r="GLR20" s="21"/>
      <c r="GLS20" s="21"/>
      <c r="GLT20" s="21"/>
      <c r="GLU20" s="21"/>
      <c r="GLV20" s="21"/>
      <c r="GLW20" s="21"/>
      <c r="GLX20" s="21"/>
      <c r="GLY20" s="21"/>
      <c r="GLZ20" s="21"/>
      <c r="GMA20" s="21"/>
      <c r="GMB20" s="21"/>
      <c r="GMC20" s="21"/>
      <c r="GMD20" s="21"/>
      <c r="GME20" s="21"/>
      <c r="GMF20" s="21"/>
      <c r="GMG20" s="21"/>
      <c r="GMH20" s="21"/>
      <c r="GMI20" s="21"/>
      <c r="GMJ20" s="21"/>
      <c r="GMK20" s="21"/>
      <c r="GML20" s="21"/>
      <c r="GMM20" s="21"/>
      <c r="GMN20" s="21"/>
      <c r="GMO20" s="21"/>
      <c r="GMP20" s="21"/>
      <c r="GMQ20" s="21"/>
      <c r="GMR20" s="21"/>
      <c r="GMS20" s="21"/>
      <c r="GMT20" s="21"/>
      <c r="GMU20" s="21"/>
      <c r="GMV20" s="21"/>
      <c r="GMW20" s="21"/>
      <c r="GMX20" s="21"/>
      <c r="GMY20" s="21"/>
      <c r="GMZ20" s="21"/>
      <c r="GNA20" s="21"/>
      <c r="GNB20" s="21"/>
      <c r="GNC20" s="21"/>
      <c r="GND20" s="21"/>
      <c r="GNE20" s="21"/>
      <c r="GNF20" s="21"/>
      <c r="GNG20" s="21"/>
      <c r="GNH20" s="21"/>
      <c r="GNI20" s="21"/>
      <c r="GNJ20" s="21"/>
      <c r="GNK20" s="21"/>
      <c r="GNL20" s="21"/>
      <c r="GNM20" s="21"/>
      <c r="GNN20" s="21"/>
      <c r="GNO20" s="21"/>
      <c r="GNP20" s="21"/>
      <c r="GNQ20" s="21"/>
      <c r="GNR20" s="21"/>
      <c r="GNS20" s="21"/>
      <c r="GNT20" s="21"/>
      <c r="GNU20" s="21"/>
      <c r="GNV20" s="21"/>
      <c r="GNW20" s="21"/>
      <c r="GNX20" s="21"/>
      <c r="GNY20" s="21"/>
      <c r="GNZ20" s="21"/>
      <c r="GOA20" s="21"/>
      <c r="GOB20" s="21"/>
      <c r="GOC20" s="21"/>
      <c r="GOD20" s="21"/>
      <c r="GOE20" s="21"/>
      <c r="GOF20" s="21"/>
      <c r="GOG20" s="21"/>
      <c r="GOH20" s="21"/>
      <c r="GOI20" s="21"/>
      <c r="GOJ20" s="21"/>
      <c r="GOK20" s="21"/>
      <c r="GOL20" s="21"/>
      <c r="GOM20" s="21"/>
      <c r="GON20" s="21"/>
      <c r="GOO20" s="21"/>
      <c r="GOP20" s="21"/>
      <c r="GOQ20" s="21"/>
      <c r="GOR20" s="21"/>
      <c r="GOS20" s="21"/>
      <c r="GOT20" s="21"/>
      <c r="GOU20" s="21"/>
      <c r="GOV20" s="21"/>
      <c r="GOW20" s="21"/>
      <c r="GOX20" s="21"/>
      <c r="GOY20" s="21"/>
      <c r="GOZ20" s="21"/>
      <c r="GPA20" s="21"/>
      <c r="GPB20" s="21"/>
      <c r="GPC20" s="21"/>
      <c r="GPD20" s="21"/>
      <c r="GPE20" s="21"/>
      <c r="GPF20" s="21"/>
      <c r="GPG20" s="21"/>
      <c r="GPH20" s="21"/>
      <c r="GPI20" s="21"/>
      <c r="GPJ20" s="21"/>
      <c r="GPK20" s="21"/>
      <c r="GPL20" s="21"/>
      <c r="GPM20" s="21"/>
      <c r="GPN20" s="21"/>
      <c r="GPO20" s="21"/>
      <c r="GPP20" s="21"/>
      <c r="GPQ20" s="21"/>
      <c r="GPR20" s="21"/>
      <c r="GPS20" s="21"/>
      <c r="GPT20" s="21"/>
      <c r="GPU20" s="21"/>
      <c r="GPV20" s="21"/>
      <c r="GPW20" s="21"/>
      <c r="GPX20" s="21"/>
      <c r="GPY20" s="21"/>
      <c r="GPZ20" s="21"/>
      <c r="GQA20" s="21"/>
      <c r="GQB20" s="21"/>
      <c r="GQC20" s="21"/>
      <c r="GQD20" s="21"/>
      <c r="GQE20" s="21"/>
      <c r="GQF20" s="21"/>
      <c r="GQG20" s="21"/>
      <c r="GQH20" s="21"/>
      <c r="GQI20" s="21"/>
      <c r="GQJ20" s="21"/>
      <c r="GQK20" s="21"/>
      <c r="GQL20" s="21"/>
      <c r="GQM20" s="21"/>
      <c r="GQN20" s="21"/>
      <c r="GQO20" s="21"/>
      <c r="GQP20" s="21"/>
      <c r="GQQ20" s="21"/>
      <c r="GQR20" s="21"/>
      <c r="GQS20" s="21"/>
      <c r="GQT20" s="21"/>
      <c r="GQU20" s="21"/>
      <c r="GQV20" s="21"/>
      <c r="GQW20" s="21"/>
      <c r="GQX20" s="21"/>
      <c r="GQY20" s="21"/>
      <c r="GQZ20" s="21"/>
      <c r="GRA20" s="21"/>
      <c r="GRB20" s="21"/>
      <c r="GRC20" s="21"/>
      <c r="GRD20" s="21"/>
      <c r="GRE20" s="21"/>
      <c r="GRF20" s="21"/>
      <c r="GRG20" s="21"/>
      <c r="GRH20" s="21"/>
      <c r="GRI20" s="21"/>
      <c r="GRJ20" s="21"/>
      <c r="GRK20" s="21"/>
      <c r="GRL20" s="21"/>
      <c r="GRM20" s="21"/>
      <c r="GRN20" s="21"/>
      <c r="GRO20" s="21"/>
      <c r="GRP20" s="21"/>
      <c r="GRQ20" s="21"/>
      <c r="GRR20" s="21"/>
      <c r="GRS20" s="21"/>
      <c r="GRT20" s="21"/>
      <c r="GRU20" s="21"/>
      <c r="GRV20" s="21"/>
      <c r="GRW20" s="21"/>
      <c r="GRX20" s="21"/>
      <c r="GRY20" s="21"/>
      <c r="GRZ20" s="21"/>
      <c r="GSA20" s="21"/>
      <c r="GSB20" s="21"/>
      <c r="GSC20" s="21"/>
      <c r="GSD20" s="21"/>
      <c r="GSE20" s="21"/>
      <c r="GSF20" s="21"/>
      <c r="GSG20" s="21"/>
      <c r="GSH20" s="21"/>
      <c r="GSI20" s="21"/>
      <c r="GSJ20" s="21"/>
      <c r="GSK20" s="21"/>
      <c r="GSL20" s="21"/>
      <c r="GSM20" s="21"/>
      <c r="GSN20" s="21"/>
      <c r="GSO20" s="21"/>
      <c r="GSP20" s="21"/>
      <c r="GSQ20" s="21"/>
      <c r="GSR20" s="21"/>
      <c r="GSS20" s="21"/>
      <c r="GST20" s="21"/>
      <c r="GSU20" s="21"/>
      <c r="GSV20" s="21"/>
      <c r="GSW20" s="21"/>
      <c r="GSX20" s="21"/>
      <c r="GSY20" s="21"/>
      <c r="GSZ20" s="21"/>
      <c r="GTA20" s="21"/>
      <c r="GTB20" s="21"/>
      <c r="GTC20" s="21"/>
      <c r="GTD20" s="21"/>
      <c r="GTE20" s="21"/>
      <c r="GTF20" s="21"/>
      <c r="GTG20" s="21"/>
      <c r="GTH20" s="21"/>
      <c r="GTI20" s="21"/>
      <c r="GTJ20" s="21"/>
      <c r="GTK20" s="21"/>
      <c r="GTL20" s="21"/>
      <c r="GTM20" s="21"/>
      <c r="GTN20" s="21"/>
      <c r="GTO20" s="21"/>
      <c r="GTP20" s="21"/>
      <c r="GTQ20" s="21"/>
      <c r="GTR20" s="21"/>
      <c r="GTS20" s="21"/>
      <c r="GTT20" s="21"/>
      <c r="GTU20" s="21"/>
      <c r="GTV20" s="21"/>
      <c r="GTW20" s="21"/>
      <c r="GTX20" s="21"/>
      <c r="GTY20" s="21"/>
      <c r="GTZ20" s="21"/>
      <c r="GUA20" s="21"/>
      <c r="GUB20" s="21"/>
      <c r="GUC20" s="21"/>
      <c r="GUD20" s="21"/>
      <c r="GUE20" s="21"/>
      <c r="GUF20" s="21"/>
      <c r="GUG20" s="21"/>
      <c r="GUH20" s="21"/>
      <c r="GUI20" s="21"/>
      <c r="GUJ20" s="21"/>
      <c r="GUK20" s="21"/>
      <c r="GUL20" s="21"/>
      <c r="GUM20" s="21"/>
      <c r="GUN20" s="21"/>
      <c r="GUO20" s="21"/>
      <c r="GUP20" s="21"/>
      <c r="GUQ20" s="21"/>
      <c r="GUR20" s="21"/>
      <c r="GUS20" s="21"/>
      <c r="GUT20" s="21"/>
      <c r="GUU20" s="21"/>
      <c r="GUV20" s="21"/>
      <c r="GUW20" s="21"/>
      <c r="GUX20" s="21"/>
      <c r="GUY20" s="21"/>
      <c r="GUZ20" s="21"/>
      <c r="GVA20" s="21"/>
      <c r="GVB20" s="21"/>
      <c r="GVC20" s="21"/>
      <c r="GVD20" s="21"/>
      <c r="GVE20" s="21"/>
      <c r="GVF20" s="21"/>
      <c r="GVG20" s="21"/>
      <c r="GVH20" s="21"/>
      <c r="GVI20" s="21"/>
      <c r="GVJ20" s="21"/>
      <c r="GVK20" s="21"/>
      <c r="GVL20" s="21"/>
      <c r="GVM20" s="21"/>
      <c r="GVN20" s="21"/>
      <c r="GVO20" s="21"/>
      <c r="GVP20" s="21"/>
      <c r="GVQ20" s="21"/>
      <c r="GVR20" s="21"/>
      <c r="GVS20" s="21"/>
      <c r="GVT20" s="21"/>
      <c r="GVU20" s="21"/>
      <c r="GVV20" s="21"/>
      <c r="GVW20" s="21"/>
      <c r="GVX20" s="21"/>
      <c r="GVY20" s="21"/>
      <c r="GVZ20" s="21"/>
      <c r="GWA20" s="21"/>
      <c r="GWB20" s="21"/>
      <c r="GWC20" s="21"/>
      <c r="GWD20" s="21"/>
      <c r="GWE20" s="21"/>
      <c r="GWF20" s="21"/>
      <c r="GWG20" s="21"/>
      <c r="GWH20" s="21"/>
      <c r="GWI20" s="21"/>
      <c r="GWJ20" s="21"/>
      <c r="GWK20" s="21"/>
      <c r="GWL20" s="21"/>
      <c r="GWM20" s="21"/>
      <c r="GWN20" s="21"/>
      <c r="GWO20" s="21"/>
      <c r="GWP20" s="21"/>
      <c r="GWQ20" s="21"/>
      <c r="GWR20" s="21"/>
      <c r="GWS20" s="21"/>
      <c r="GWT20" s="21"/>
      <c r="GWU20" s="21"/>
      <c r="GWV20" s="21"/>
      <c r="GWW20" s="21"/>
      <c r="GWX20" s="21"/>
      <c r="GWY20" s="21"/>
      <c r="GWZ20" s="21"/>
      <c r="GXA20" s="21"/>
      <c r="GXB20" s="21"/>
      <c r="GXC20" s="21"/>
      <c r="GXD20" s="21"/>
      <c r="GXE20" s="21"/>
      <c r="GXF20" s="21"/>
      <c r="GXG20" s="21"/>
      <c r="GXH20" s="21"/>
      <c r="GXI20" s="21"/>
      <c r="GXJ20" s="21"/>
      <c r="GXK20" s="21"/>
      <c r="GXL20" s="21"/>
      <c r="GXM20" s="21"/>
      <c r="GXN20" s="21"/>
      <c r="GXO20" s="21"/>
      <c r="GXP20" s="21"/>
      <c r="GXQ20" s="21"/>
      <c r="GXR20" s="21"/>
      <c r="GXS20" s="21"/>
      <c r="GXT20" s="21"/>
      <c r="GXU20" s="21"/>
      <c r="GXV20" s="21"/>
      <c r="GXW20" s="21"/>
      <c r="GXX20" s="21"/>
      <c r="GXY20" s="21"/>
      <c r="GXZ20" s="21"/>
      <c r="GYA20" s="21"/>
      <c r="GYB20" s="21"/>
      <c r="GYC20" s="21"/>
      <c r="GYD20" s="21"/>
      <c r="GYE20" s="21"/>
      <c r="GYF20" s="21"/>
      <c r="GYG20" s="21"/>
      <c r="GYH20" s="21"/>
      <c r="GYI20" s="21"/>
      <c r="GYJ20" s="21"/>
      <c r="GYK20" s="21"/>
      <c r="GYL20" s="21"/>
      <c r="GYM20" s="21"/>
      <c r="GYN20" s="21"/>
      <c r="GYO20" s="21"/>
      <c r="GYP20" s="21"/>
      <c r="GYQ20" s="21"/>
      <c r="GYR20" s="21"/>
      <c r="GYS20" s="21"/>
      <c r="GYT20" s="21"/>
      <c r="GYU20" s="21"/>
      <c r="GYV20" s="21"/>
      <c r="GYW20" s="21"/>
      <c r="GYX20" s="21"/>
      <c r="GYY20" s="21"/>
      <c r="GYZ20" s="21"/>
      <c r="GZA20" s="21"/>
      <c r="GZB20" s="21"/>
      <c r="GZC20" s="21"/>
      <c r="GZD20" s="21"/>
      <c r="GZE20" s="21"/>
      <c r="GZF20" s="21"/>
      <c r="GZG20" s="21"/>
      <c r="GZH20" s="21"/>
      <c r="GZI20" s="21"/>
      <c r="GZJ20" s="21"/>
      <c r="GZK20" s="21"/>
      <c r="GZL20" s="21"/>
      <c r="GZM20" s="21"/>
      <c r="GZN20" s="21"/>
      <c r="GZO20" s="21"/>
      <c r="GZP20" s="21"/>
      <c r="GZQ20" s="21"/>
      <c r="GZR20" s="21"/>
      <c r="GZS20" s="21"/>
      <c r="GZT20" s="21"/>
      <c r="GZU20" s="21"/>
      <c r="GZV20" s="21"/>
      <c r="GZW20" s="21"/>
      <c r="GZX20" s="21"/>
      <c r="GZY20" s="21"/>
      <c r="GZZ20" s="21"/>
      <c r="HAA20" s="21"/>
      <c r="HAB20" s="21"/>
      <c r="HAC20" s="21"/>
      <c r="HAD20" s="21"/>
      <c r="HAE20" s="21"/>
      <c r="HAF20" s="21"/>
      <c r="HAG20" s="21"/>
      <c r="HAH20" s="21"/>
      <c r="HAI20" s="21"/>
      <c r="HAJ20" s="21"/>
      <c r="HAK20" s="21"/>
      <c r="HAL20" s="21"/>
      <c r="HAM20" s="21"/>
      <c r="HAN20" s="21"/>
      <c r="HAO20" s="21"/>
      <c r="HAP20" s="21"/>
      <c r="HAQ20" s="21"/>
      <c r="HAR20" s="21"/>
      <c r="HAS20" s="21"/>
      <c r="HAT20" s="21"/>
      <c r="HAU20" s="21"/>
      <c r="HAV20" s="21"/>
      <c r="HAW20" s="21"/>
      <c r="HAX20" s="21"/>
      <c r="HAY20" s="21"/>
      <c r="HAZ20" s="21"/>
      <c r="HBA20" s="21"/>
      <c r="HBB20" s="21"/>
      <c r="HBC20" s="21"/>
      <c r="HBD20" s="21"/>
      <c r="HBE20" s="21"/>
      <c r="HBF20" s="21"/>
      <c r="HBG20" s="21"/>
      <c r="HBH20" s="21"/>
      <c r="HBI20" s="21"/>
      <c r="HBJ20" s="21"/>
      <c r="HBK20" s="21"/>
      <c r="HBL20" s="21"/>
      <c r="HBM20" s="21"/>
      <c r="HBN20" s="21"/>
      <c r="HBO20" s="21"/>
      <c r="HBP20" s="21"/>
      <c r="HBQ20" s="21"/>
      <c r="HBR20" s="21"/>
      <c r="HBS20" s="21"/>
      <c r="HBT20" s="21"/>
      <c r="HBU20" s="21"/>
      <c r="HBV20" s="21"/>
      <c r="HBW20" s="21"/>
      <c r="HBX20" s="21"/>
      <c r="HBY20" s="21"/>
      <c r="HBZ20" s="21"/>
      <c r="HCA20" s="21"/>
      <c r="HCB20" s="21"/>
      <c r="HCC20" s="21"/>
      <c r="HCD20" s="21"/>
      <c r="HCE20" s="21"/>
      <c r="HCF20" s="21"/>
      <c r="HCG20" s="21"/>
      <c r="HCH20" s="21"/>
      <c r="HCI20" s="21"/>
      <c r="HCJ20" s="21"/>
      <c r="HCK20" s="21"/>
      <c r="HCL20" s="21"/>
      <c r="HCM20" s="21"/>
      <c r="HCN20" s="21"/>
      <c r="HCO20" s="21"/>
      <c r="HCP20" s="21"/>
      <c r="HCQ20" s="21"/>
      <c r="HCR20" s="21"/>
      <c r="HCS20" s="21"/>
      <c r="HCT20" s="21"/>
      <c r="HCU20" s="21"/>
      <c r="HCV20" s="21"/>
      <c r="HCW20" s="21"/>
      <c r="HCX20" s="21"/>
      <c r="HCY20" s="21"/>
      <c r="HCZ20" s="21"/>
      <c r="HDA20" s="21"/>
      <c r="HDB20" s="21"/>
      <c r="HDC20" s="21"/>
      <c r="HDD20" s="21"/>
      <c r="HDE20" s="21"/>
      <c r="HDF20" s="21"/>
      <c r="HDG20" s="21"/>
      <c r="HDH20" s="21"/>
      <c r="HDI20" s="21"/>
      <c r="HDJ20" s="21"/>
      <c r="HDK20" s="21"/>
      <c r="HDL20" s="21"/>
      <c r="HDM20" s="21"/>
      <c r="HDN20" s="21"/>
      <c r="HDO20" s="21"/>
      <c r="HDP20" s="21"/>
      <c r="HDQ20" s="21"/>
      <c r="HDR20" s="21"/>
      <c r="HDS20" s="21"/>
      <c r="HDT20" s="21"/>
      <c r="HDU20" s="21"/>
      <c r="HDV20" s="21"/>
      <c r="HDW20" s="21"/>
      <c r="HDX20" s="21"/>
      <c r="HDY20" s="21"/>
      <c r="HDZ20" s="21"/>
      <c r="HEA20" s="21"/>
      <c r="HEB20" s="21"/>
      <c r="HEC20" s="21"/>
      <c r="HED20" s="21"/>
      <c r="HEE20" s="21"/>
      <c r="HEF20" s="21"/>
      <c r="HEG20" s="21"/>
      <c r="HEH20" s="21"/>
      <c r="HEI20" s="21"/>
      <c r="HEJ20" s="21"/>
      <c r="HEK20" s="21"/>
      <c r="HEL20" s="21"/>
      <c r="HEM20" s="21"/>
      <c r="HEN20" s="21"/>
      <c r="HEO20" s="21"/>
      <c r="HEP20" s="21"/>
      <c r="HEQ20" s="21"/>
      <c r="HER20" s="21"/>
      <c r="HES20" s="21"/>
      <c r="HET20" s="21"/>
      <c r="HEU20" s="21"/>
      <c r="HEV20" s="21"/>
      <c r="HEW20" s="21"/>
      <c r="HEX20" s="21"/>
      <c r="HEY20" s="21"/>
      <c r="HEZ20" s="21"/>
      <c r="HFA20" s="21"/>
      <c r="HFB20" s="21"/>
      <c r="HFC20" s="21"/>
      <c r="HFD20" s="21"/>
      <c r="HFE20" s="21"/>
      <c r="HFF20" s="21"/>
      <c r="HFG20" s="21"/>
      <c r="HFH20" s="21"/>
      <c r="HFI20" s="21"/>
      <c r="HFJ20" s="21"/>
      <c r="HFK20" s="21"/>
      <c r="HFL20" s="21"/>
      <c r="HFM20" s="21"/>
      <c r="HFN20" s="21"/>
      <c r="HFO20" s="21"/>
      <c r="HFP20" s="21"/>
      <c r="HFQ20" s="21"/>
      <c r="HFR20" s="21"/>
      <c r="HFS20" s="21"/>
      <c r="HFT20" s="21"/>
      <c r="HFU20" s="21"/>
      <c r="HFV20" s="21"/>
      <c r="HFW20" s="21"/>
      <c r="HFX20" s="21"/>
      <c r="HFY20" s="21"/>
      <c r="HFZ20" s="21"/>
      <c r="HGA20" s="21"/>
      <c r="HGB20" s="21"/>
      <c r="HGC20" s="21"/>
      <c r="HGD20" s="21"/>
      <c r="HGE20" s="21"/>
      <c r="HGF20" s="21"/>
      <c r="HGG20" s="21"/>
      <c r="HGH20" s="21"/>
      <c r="HGI20" s="21"/>
      <c r="HGJ20" s="21"/>
      <c r="HGK20" s="21"/>
      <c r="HGL20" s="21"/>
      <c r="HGM20" s="21"/>
      <c r="HGN20" s="21"/>
      <c r="HGO20" s="21"/>
      <c r="HGP20" s="21"/>
      <c r="HGQ20" s="21"/>
      <c r="HGR20" s="21"/>
      <c r="HGS20" s="21"/>
      <c r="HGT20" s="21"/>
      <c r="HGU20" s="21"/>
      <c r="HGV20" s="21"/>
      <c r="HGW20" s="21"/>
      <c r="HGX20" s="21"/>
      <c r="HGY20" s="21"/>
      <c r="HGZ20" s="21"/>
      <c r="HHA20" s="21"/>
      <c r="HHB20" s="21"/>
      <c r="HHC20" s="21"/>
      <c r="HHD20" s="21"/>
      <c r="HHE20" s="21"/>
      <c r="HHF20" s="21"/>
      <c r="HHG20" s="21"/>
      <c r="HHH20" s="21"/>
      <c r="HHI20" s="21"/>
      <c r="HHJ20" s="21"/>
      <c r="HHK20" s="21"/>
      <c r="HHL20" s="21"/>
      <c r="HHM20" s="21"/>
      <c r="HHN20" s="21"/>
      <c r="HHO20" s="21"/>
      <c r="HHP20" s="21"/>
      <c r="HHQ20" s="21"/>
      <c r="HHR20" s="21"/>
      <c r="HHS20" s="21"/>
      <c r="HHT20" s="21"/>
      <c r="HHU20" s="21"/>
      <c r="HHV20" s="21"/>
      <c r="HHW20" s="21"/>
      <c r="HHX20" s="21"/>
      <c r="HHY20" s="21"/>
      <c r="HHZ20" s="21"/>
      <c r="HIA20" s="21"/>
      <c r="HIB20" s="21"/>
      <c r="HIC20" s="21"/>
      <c r="HID20" s="21"/>
      <c r="HIE20" s="21"/>
      <c r="HIF20" s="21"/>
      <c r="HIG20" s="21"/>
      <c r="HIH20" s="21"/>
      <c r="HII20" s="21"/>
      <c r="HIJ20" s="21"/>
      <c r="HIK20" s="21"/>
      <c r="HIL20" s="21"/>
      <c r="HIM20" s="21"/>
      <c r="HIN20" s="21"/>
      <c r="HIO20" s="21"/>
      <c r="HIP20" s="21"/>
      <c r="HIQ20" s="21"/>
      <c r="HIR20" s="21"/>
      <c r="HIS20" s="21"/>
      <c r="HIT20" s="21"/>
      <c r="HIU20" s="21"/>
      <c r="HIV20" s="21"/>
      <c r="HIW20" s="21"/>
      <c r="HIX20" s="21"/>
      <c r="HIY20" s="21"/>
      <c r="HIZ20" s="21"/>
      <c r="HJA20" s="21"/>
      <c r="HJB20" s="21"/>
      <c r="HJC20" s="21"/>
      <c r="HJD20" s="21"/>
      <c r="HJE20" s="21"/>
      <c r="HJF20" s="21"/>
      <c r="HJG20" s="21"/>
      <c r="HJH20" s="21"/>
      <c r="HJI20" s="21"/>
      <c r="HJJ20" s="21"/>
      <c r="HJK20" s="21"/>
      <c r="HJL20" s="21"/>
      <c r="HJM20" s="21"/>
      <c r="HJN20" s="21"/>
      <c r="HJO20" s="21"/>
      <c r="HJP20" s="21"/>
      <c r="HJQ20" s="21"/>
      <c r="HJR20" s="21"/>
      <c r="HJS20" s="21"/>
      <c r="HJT20" s="21"/>
      <c r="HJU20" s="21"/>
      <c r="HJV20" s="21"/>
      <c r="HJW20" s="21"/>
      <c r="HJX20" s="21"/>
      <c r="HJY20" s="21"/>
      <c r="HJZ20" s="21"/>
      <c r="HKA20" s="21"/>
      <c r="HKB20" s="21"/>
      <c r="HKC20" s="21"/>
      <c r="HKD20" s="21"/>
      <c r="HKE20" s="21"/>
      <c r="HKF20" s="21"/>
      <c r="HKG20" s="21"/>
      <c r="HKH20" s="21"/>
      <c r="HKI20" s="21"/>
      <c r="HKJ20" s="21"/>
      <c r="HKK20" s="21"/>
      <c r="HKL20" s="21"/>
      <c r="HKM20" s="21"/>
      <c r="HKN20" s="21"/>
      <c r="HKO20" s="21"/>
      <c r="HKP20" s="21"/>
      <c r="HKQ20" s="21"/>
      <c r="HKR20" s="21"/>
      <c r="HKS20" s="21"/>
      <c r="HKT20" s="21"/>
      <c r="HKU20" s="21"/>
      <c r="HKV20" s="21"/>
      <c r="HKW20" s="21"/>
      <c r="HKX20" s="21"/>
      <c r="HKY20" s="21"/>
      <c r="HKZ20" s="21"/>
      <c r="HLA20" s="21"/>
      <c r="HLB20" s="21"/>
      <c r="HLC20" s="21"/>
      <c r="HLD20" s="21"/>
      <c r="HLE20" s="21"/>
      <c r="HLF20" s="21"/>
      <c r="HLG20" s="21"/>
      <c r="HLH20" s="21"/>
      <c r="HLI20" s="21"/>
      <c r="HLJ20" s="21"/>
      <c r="HLK20" s="21"/>
      <c r="HLL20" s="21"/>
      <c r="HLM20" s="21"/>
      <c r="HLN20" s="21"/>
      <c r="HLO20" s="21"/>
      <c r="HLP20" s="21"/>
      <c r="HLQ20" s="21"/>
      <c r="HLR20" s="21"/>
      <c r="HLS20" s="21"/>
      <c r="HLT20" s="21"/>
      <c r="HLU20" s="21"/>
      <c r="HLV20" s="21"/>
      <c r="HLW20" s="21"/>
      <c r="HLX20" s="21"/>
      <c r="HLY20" s="21"/>
      <c r="HLZ20" s="21"/>
      <c r="HMA20" s="21"/>
      <c r="HMB20" s="21"/>
      <c r="HMC20" s="21"/>
      <c r="HMD20" s="21"/>
      <c r="HME20" s="21"/>
      <c r="HMF20" s="21"/>
      <c r="HMG20" s="21"/>
      <c r="HMH20" s="21"/>
      <c r="HMI20" s="21"/>
      <c r="HMJ20" s="21"/>
      <c r="HMK20" s="21"/>
      <c r="HML20" s="21"/>
      <c r="HMM20" s="21"/>
      <c r="HMN20" s="21"/>
      <c r="HMO20" s="21"/>
      <c r="HMP20" s="21"/>
      <c r="HMQ20" s="21"/>
      <c r="HMR20" s="21"/>
      <c r="HMS20" s="21"/>
      <c r="HMT20" s="21"/>
      <c r="HMU20" s="21"/>
      <c r="HMV20" s="21"/>
      <c r="HMW20" s="21"/>
      <c r="HMX20" s="21"/>
      <c r="HMY20" s="21"/>
      <c r="HMZ20" s="21"/>
      <c r="HNA20" s="21"/>
      <c r="HNB20" s="21"/>
      <c r="HNC20" s="21"/>
      <c r="HND20" s="21"/>
      <c r="HNE20" s="21"/>
      <c r="HNF20" s="21"/>
      <c r="HNG20" s="21"/>
      <c r="HNH20" s="21"/>
      <c r="HNI20" s="21"/>
      <c r="HNJ20" s="21"/>
      <c r="HNK20" s="21"/>
      <c r="HNL20" s="21"/>
      <c r="HNM20" s="21"/>
      <c r="HNN20" s="21"/>
      <c r="HNO20" s="21"/>
      <c r="HNP20" s="21"/>
      <c r="HNQ20" s="21"/>
      <c r="HNR20" s="21"/>
      <c r="HNS20" s="21"/>
      <c r="HNT20" s="21"/>
      <c r="HNU20" s="21"/>
      <c r="HNV20" s="21"/>
      <c r="HNW20" s="21"/>
      <c r="HNX20" s="21"/>
      <c r="HNY20" s="21"/>
      <c r="HNZ20" s="21"/>
      <c r="HOA20" s="21"/>
      <c r="HOB20" s="21"/>
      <c r="HOC20" s="21"/>
      <c r="HOD20" s="21"/>
      <c r="HOE20" s="21"/>
      <c r="HOF20" s="21"/>
      <c r="HOG20" s="21"/>
      <c r="HOH20" s="21"/>
      <c r="HOI20" s="21"/>
      <c r="HOJ20" s="21"/>
      <c r="HOK20" s="21"/>
      <c r="HOL20" s="21"/>
      <c r="HOM20" s="21"/>
      <c r="HON20" s="21"/>
      <c r="HOO20" s="21"/>
      <c r="HOP20" s="21"/>
      <c r="HOQ20" s="21"/>
      <c r="HOR20" s="21"/>
      <c r="HOS20" s="21"/>
      <c r="HOT20" s="21"/>
      <c r="HOU20" s="21"/>
      <c r="HOV20" s="21"/>
      <c r="HOW20" s="21"/>
      <c r="HOX20" s="21"/>
      <c r="HOY20" s="21"/>
      <c r="HOZ20" s="21"/>
      <c r="HPA20" s="21"/>
      <c r="HPB20" s="21"/>
      <c r="HPC20" s="21"/>
      <c r="HPD20" s="21"/>
      <c r="HPE20" s="21"/>
      <c r="HPF20" s="21"/>
      <c r="HPG20" s="21"/>
      <c r="HPH20" s="21"/>
      <c r="HPI20" s="21"/>
      <c r="HPJ20" s="21"/>
      <c r="HPK20" s="21"/>
      <c r="HPL20" s="21"/>
      <c r="HPM20" s="21"/>
      <c r="HPN20" s="21"/>
      <c r="HPO20" s="21"/>
      <c r="HPP20" s="21"/>
      <c r="HPQ20" s="21"/>
      <c r="HPR20" s="21"/>
      <c r="HPS20" s="21"/>
      <c r="HPT20" s="21"/>
      <c r="HPU20" s="21"/>
      <c r="HPV20" s="21"/>
      <c r="HPW20" s="21"/>
      <c r="HPX20" s="21"/>
      <c r="HPY20" s="21"/>
      <c r="HPZ20" s="21"/>
      <c r="HQA20" s="21"/>
      <c r="HQB20" s="21"/>
      <c r="HQC20" s="21"/>
      <c r="HQD20" s="21"/>
      <c r="HQE20" s="21"/>
      <c r="HQF20" s="21"/>
      <c r="HQG20" s="21"/>
      <c r="HQH20" s="21"/>
      <c r="HQI20" s="21"/>
      <c r="HQJ20" s="21"/>
      <c r="HQK20" s="21"/>
      <c r="HQL20" s="21"/>
      <c r="HQM20" s="21"/>
      <c r="HQN20" s="21"/>
      <c r="HQO20" s="21"/>
      <c r="HQP20" s="21"/>
      <c r="HQQ20" s="21"/>
      <c r="HQR20" s="21"/>
      <c r="HQS20" s="21"/>
      <c r="HQT20" s="21"/>
      <c r="HQU20" s="21"/>
      <c r="HQV20" s="21"/>
      <c r="HQW20" s="21"/>
      <c r="HQX20" s="21"/>
      <c r="HQY20" s="21"/>
      <c r="HQZ20" s="21"/>
      <c r="HRA20" s="21"/>
      <c r="HRB20" s="21"/>
      <c r="HRC20" s="21"/>
      <c r="HRD20" s="21"/>
      <c r="HRE20" s="21"/>
      <c r="HRF20" s="21"/>
      <c r="HRG20" s="21"/>
      <c r="HRH20" s="21"/>
      <c r="HRI20" s="21"/>
      <c r="HRJ20" s="21"/>
      <c r="HRK20" s="21"/>
      <c r="HRL20" s="21"/>
      <c r="HRM20" s="21"/>
      <c r="HRN20" s="21"/>
      <c r="HRO20" s="21"/>
      <c r="HRP20" s="21"/>
      <c r="HRQ20" s="21"/>
      <c r="HRR20" s="21"/>
      <c r="HRS20" s="21"/>
      <c r="HRT20" s="21"/>
      <c r="HRU20" s="21"/>
      <c r="HRV20" s="21"/>
      <c r="HRW20" s="21"/>
      <c r="HRX20" s="21"/>
      <c r="HRY20" s="21"/>
      <c r="HRZ20" s="21"/>
      <c r="HSA20" s="21"/>
      <c r="HSB20" s="21"/>
      <c r="HSC20" s="21"/>
      <c r="HSD20" s="21"/>
      <c r="HSE20" s="21"/>
      <c r="HSF20" s="21"/>
      <c r="HSG20" s="21"/>
      <c r="HSH20" s="21"/>
      <c r="HSI20" s="21"/>
      <c r="HSJ20" s="21"/>
      <c r="HSK20" s="21"/>
      <c r="HSL20" s="21"/>
      <c r="HSM20" s="21"/>
      <c r="HSN20" s="21"/>
      <c r="HSO20" s="21"/>
      <c r="HSP20" s="21"/>
      <c r="HSQ20" s="21"/>
      <c r="HSR20" s="21"/>
      <c r="HSS20" s="21"/>
      <c r="HST20" s="21"/>
      <c r="HSU20" s="21"/>
      <c r="HSV20" s="21"/>
      <c r="HSW20" s="21"/>
      <c r="HSX20" s="21"/>
      <c r="HSY20" s="21"/>
      <c r="HSZ20" s="21"/>
      <c r="HTA20" s="21"/>
      <c r="HTB20" s="21"/>
      <c r="HTC20" s="21"/>
      <c r="HTD20" s="21"/>
      <c r="HTE20" s="21"/>
      <c r="HTF20" s="21"/>
      <c r="HTG20" s="21"/>
      <c r="HTH20" s="21"/>
      <c r="HTI20" s="21"/>
      <c r="HTJ20" s="21"/>
      <c r="HTK20" s="21"/>
      <c r="HTL20" s="21"/>
      <c r="HTM20" s="21"/>
      <c r="HTN20" s="21"/>
      <c r="HTO20" s="21"/>
      <c r="HTP20" s="21"/>
      <c r="HTQ20" s="21"/>
      <c r="HTR20" s="21"/>
      <c r="HTS20" s="21"/>
      <c r="HTT20" s="21"/>
      <c r="HTU20" s="21"/>
      <c r="HTV20" s="21"/>
      <c r="HTW20" s="21"/>
      <c r="HTX20" s="21"/>
      <c r="HTY20" s="21"/>
      <c r="HTZ20" s="21"/>
      <c r="HUA20" s="21"/>
      <c r="HUB20" s="21"/>
      <c r="HUC20" s="21"/>
      <c r="HUD20" s="21"/>
      <c r="HUE20" s="21"/>
      <c r="HUF20" s="21"/>
      <c r="HUG20" s="21"/>
      <c r="HUH20" s="21"/>
      <c r="HUI20" s="21"/>
      <c r="HUJ20" s="21"/>
      <c r="HUK20" s="21"/>
      <c r="HUL20" s="21"/>
      <c r="HUM20" s="21"/>
      <c r="HUN20" s="21"/>
      <c r="HUO20" s="21"/>
      <c r="HUP20" s="21"/>
      <c r="HUQ20" s="21"/>
      <c r="HUR20" s="21"/>
      <c r="HUS20" s="21"/>
      <c r="HUT20" s="21"/>
      <c r="HUU20" s="21"/>
      <c r="HUV20" s="21"/>
      <c r="HUW20" s="21"/>
      <c r="HUX20" s="21"/>
      <c r="HUY20" s="21"/>
      <c r="HUZ20" s="21"/>
      <c r="HVA20" s="21"/>
      <c r="HVB20" s="21"/>
      <c r="HVC20" s="21"/>
      <c r="HVD20" s="21"/>
      <c r="HVE20" s="21"/>
      <c r="HVF20" s="21"/>
      <c r="HVG20" s="21"/>
      <c r="HVH20" s="21"/>
      <c r="HVI20" s="21"/>
      <c r="HVJ20" s="21"/>
      <c r="HVK20" s="21"/>
      <c r="HVL20" s="21"/>
      <c r="HVM20" s="21"/>
      <c r="HVN20" s="21"/>
      <c r="HVO20" s="21"/>
      <c r="HVP20" s="21"/>
      <c r="HVQ20" s="21"/>
      <c r="HVR20" s="21"/>
      <c r="HVS20" s="21"/>
      <c r="HVT20" s="21"/>
      <c r="HVU20" s="21"/>
      <c r="HVV20" s="21"/>
      <c r="HVW20" s="21"/>
      <c r="HVX20" s="21"/>
      <c r="HVY20" s="21"/>
      <c r="HVZ20" s="21"/>
      <c r="HWA20" s="21"/>
      <c r="HWB20" s="21"/>
      <c r="HWC20" s="21"/>
      <c r="HWD20" s="21"/>
      <c r="HWE20" s="21"/>
      <c r="HWF20" s="21"/>
      <c r="HWG20" s="21"/>
      <c r="HWH20" s="21"/>
      <c r="HWI20" s="21"/>
      <c r="HWJ20" s="21"/>
      <c r="HWK20" s="21"/>
      <c r="HWL20" s="21"/>
      <c r="HWM20" s="21"/>
      <c r="HWN20" s="21"/>
      <c r="HWO20" s="21"/>
      <c r="HWP20" s="21"/>
      <c r="HWQ20" s="21"/>
      <c r="HWR20" s="21"/>
      <c r="HWS20" s="21"/>
      <c r="HWT20" s="21"/>
      <c r="HWU20" s="21"/>
      <c r="HWV20" s="21"/>
      <c r="HWW20" s="21"/>
      <c r="HWX20" s="21"/>
      <c r="HWY20" s="21"/>
      <c r="HWZ20" s="21"/>
      <c r="HXA20" s="21"/>
      <c r="HXB20" s="21"/>
      <c r="HXC20" s="21"/>
      <c r="HXD20" s="21"/>
      <c r="HXE20" s="21"/>
      <c r="HXF20" s="21"/>
      <c r="HXG20" s="21"/>
      <c r="HXH20" s="21"/>
      <c r="HXI20" s="21"/>
      <c r="HXJ20" s="21"/>
      <c r="HXK20" s="21"/>
      <c r="HXL20" s="21"/>
      <c r="HXM20" s="21"/>
      <c r="HXN20" s="21"/>
      <c r="HXO20" s="21"/>
      <c r="HXP20" s="21"/>
      <c r="HXQ20" s="21"/>
      <c r="HXR20" s="21"/>
      <c r="HXS20" s="21"/>
      <c r="HXT20" s="21"/>
      <c r="HXU20" s="21"/>
      <c r="HXV20" s="21"/>
      <c r="HXW20" s="21"/>
      <c r="HXX20" s="21"/>
      <c r="HXY20" s="21"/>
      <c r="HXZ20" s="21"/>
      <c r="HYA20" s="21"/>
      <c r="HYB20" s="21"/>
      <c r="HYC20" s="21"/>
      <c r="HYD20" s="21"/>
      <c r="HYE20" s="21"/>
      <c r="HYF20" s="21"/>
      <c r="HYG20" s="21"/>
      <c r="HYH20" s="21"/>
      <c r="HYI20" s="21"/>
      <c r="HYJ20" s="21"/>
      <c r="HYK20" s="21"/>
      <c r="HYL20" s="21"/>
      <c r="HYM20" s="21"/>
      <c r="HYN20" s="21"/>
      <c r="HYO20" s="21"/>
      <c r="HYP20" s="21"/>
      <c r="HYQ20" s="21"/>
      <c r="HYR20" s="21"/>
      <c r="HYS20" s="21"/>
      <c r="HYT20" s="21"/>
      <c r="HYU20" s="21"/>
      <c r="HYV20" s="21"/>
      <c r="HYW20" s="21"/>
      <c r="HYX20" s="21"/>
      <c r="HYY20" s="21"/>
      <c r="HYZ20" s="21"/>
      <c r="HZA20" s="21"/>
      <c r="HZB20" s="21"/>
      <c r="HZC20" s="21"/>
      <c r="HZD20" s="21"/>
      <c r="HZE20" s="21"/>
      <c r="HZF20" s="21"/>
      <c r="HZG20" s="21"/>
      <c r="HZH20" s="21"/>
      <c r="HZI20" s="21"/>
      <c r="HZJ20" s="21"/>
      <c r="HZK20" s="21"/>
      <c r="HZL20" s="21"/>
      <c r="HZM20" s="21"/>
      <c r="HZN20" s="21"/>
      <c r="HZO20" s="21"/>
      <c r="HZP20" s="21"/>
      <c r="HZQ20" s="21"/>
      <c r="HZR20" s="21"/>
      <c r="HZS20" s="21"/>
      <c r="HZT20" s="21"/>
      <c r="HZU20" s="21"/>
      <c r="HZV20" s="21"/>
      <c r="HZW20" s="21"/>
      <c r="HZX20" s="21"/>
      <c r="HZY20" s="21"/>
      <c r="HZZ20" s="21"/>
      <c r="IAA20" s="21"/>
      <c r="IAB20" s="21"/>
      <c r="IAC20" s="21"/>
      <c r="IAD20" s="21"/>
      <c r="IAE20" s="21"/>
      <c r="IAF20" s="21"/>
      <c r="IAG20" s="21"/>
      <c r="IAH20" s="21"/>
      <c r="IAI20" s="21"/>
      <c r="IAJ20" s="21"/>
      <c r="IAK20" s="21"/>
      <c r="IAL20" s="21"/>
      <c r="IAM20" s="21"/>
      <c r="IAN20" s="21"/>
      <c r="IAO20" s="21"/>
      <c r="IAP20" s="21"/>
      <c r="IAQ20" s="21"/>
      <c r="IAR20" s="21"/>
      <c r="IAS20" s="21"/>
      <c r="IAT20" s="21"/>
      <c r="IAU20" s="21"/>
      <c r="IAV20" s="21"/>
      <c r="IAW20" s="21"/>
      <c r="IAX20" s="21"/>
      <c r="IAY20" s="21"/>
      <c r="IAZ20" s="21"/>
      <c r="IBA20" s="21"/>
      <c r="IBB20" s="21"/>
      <c r="IBC20" s="21"/>
      <c r="IBD20" s="21"/>
      <c r="IBE20" s="21"/>
      <c r="IBF20" s="21"/>
      <c r="IBG20" s="21"/>
      <c r="IBH20" s="21"/>
      <c r="IBI20" s="21"/>
      <c r="IBJ20" s="21"/>
      <c r="IBK20" s="21"/>
      <c r="IBL20" s="21"/>
      <c r="IBM20" s="21"/>
      <c r="IBN20" s="21"/>
      <c r="IBO20" s="21"/>
      <c r="IBP20" s="21"/>
      <c r="IBQ20" s="21"/>
      <c r="IBR20" s="21"/>
      <c r="IBS20" s="21"/>
      <c r="IBT20" s="21"/>
      <c r="IBU20" s="21"/>
      <c r="IBV20" s="21"/>
      <c r="IBW20" s="21"/>
      <c r="IBX20" s="21"/>
      <c r="IBY20" s="21"/>
      <c r="IBZ20" s="21"/>
      <c r="ICA20" s="21"/>
      <c r="ICB20" s="21"/>
      <c r="ICC20" s="21"/>
      <c r="ICD20" s="21"/>
      <c r="ICE20" s="21"/>
      <c r="ICF20" s="21"/>
      <c r="ICG20" s="21"/>
      <c r="ICH20" s="21"/>
      <c r="ICI20" s="21"/>
      <c r="ICJ20" s="21"/>
      <c r="ICK20" s="21"/>
      <c r="ICL20" s="21"/>
      <c r="ICM20" s="21"/>
      <c r="ICN20" s="21"/>
      <c r="ICO20" s="21"/>
      <c r="ICP20" s="21"/>
      <c r="ICQ20" s="21"/>
      <c r="ICR20" s="21"/>
      <c r="ICS20" s="21"/>
      <c r="ICT20" s="21"/>
      <c r="ICU20" s="21"/>
      <c r="ICV20" s="21"/>
      <c r="ICW20" s="21"/>
      <c r="ICX20" s="21"/>
      <c r="ICY20" s="21"/>
      <c r="ICZ20" s="21"/>
      <c r="IDA20" s="21"/>
      <c r="IDB20" s="21"/>
      <c r="IDC20" s="21"/>
      <c r="IDD20" s="21"/>
      <c r="IDE20" s="21"/>
      <c r="IDF20" s="21"/>
      <c r="IDG20" s="21"/>
      <c r="IDH20" s="21"/>
      <c r="IDI20" s="21"/>
      <c r="IDJ20" s="21"/>
      <c r="IDK20" s="21"/>
      <c r="IDL20" s="21"/>
      <c r="IDM20" s="21"/>
      <c r="IDN20" s="21"/>
      <c r="IDO20" s="21"/>
      <c r="IDP20" s="21"/>
      <c r="IDQ20" s="21"/>
      <c r="IDR20" s="21"/>
      <c r="IDS20" s="21"/>
      <c r="IDT20" s="21"/>
      <c r="IDU20" s="21"/>
      <c r="IDV20" s="21"/>
      <c r="IDW20" s="21"/>
      <c r="IDX20" s="21"/>
      <c r="IDY20" s="21"/>
      <c r="IDZ20" s="21"/>
      <c r="IEA20" s="21"/>
      <c r="IEB20" s="21"/>
      <c r="IEC20" s="21"/>
      <c r="IED20" s="21"/>
      <c r="IEE20" s="21"/>
      <c r="IEF20" s="21"/>
      <c r="IEG20" s="21"/>
      <c r="IEH20" s="21"/>
      <c r="IEI20" s="21"/>
      <c r="IEJ20" s="21"/>
      <c r="IEK20" s="21"/>
      <c r="IEL20" s="21"/>
      <c r="IEM20" s="21"/>
      <c r="IEN20" s="21"/>
      <c r="IEO20" s="21"/>
      <c r="IEP20" s="21"/>
      <c r="IEQ20" s="21"/>
      <c r="IER20" s="21"/>
      <c r="IES20" s="21"/>
      <c r="IET20" s="21"/>
      <c r="IEU20" s="21"/>
      <c r="IEV20" s="21"/>
      <c r="IEW20" s="21"/>
      <c r="IEX20" s="21"/>
      <c r="IEY20" s="21"/>
      <c r="IEZ20" s="21"/>
      <c r="IFA20" s="21"/>
      <c r="IFB20" s="21"/>
      <c r="IFC20" s="21"/>
      <c r="IFD20" s="21"/>
      <c r="IFE20" s="21"/>
      <c r="IFF20" s="21"/>
      <c r="IFG20" s="21"/>
      <c r="IFH20" s="21"/>
      <c r="IFI20" s="21"/>
      <c r="IFJ20" s="21"/>
      <c r="IFK20" s="21"/>
      <c r="IFL20" s="21"/>
      <c r="IFM20" s="21"/>
      <c r="IFN20" s="21"/>
      <c r="IFO20" s="21"/>
      <c r="IFP20" s="21"/>
      <c r="IFQ20" s="21"/>
      <c r="IFR20" s="21"/>
      <c r="IFS20" s="21"/>
      <c r="IFT20" s="21"/>
      <c r="IFU20" s="21"/>
      <c r="IFV20" s="21"/>
      <c r="IFW20" s="21"/>
      <c r="IFX20" s="21"/>
      <c r="IFY20" s="21"/>
      <c r="IFZ20" s="21"/>
      <c r="IGA20" s="21"/>
      <c r="IGB20" s="21"/>
      <c r="IGC20" s="21"/>
      <c r="IGD20" s="21"/>
      <c r="IGE20" s="21"/>
      <c r="IGF20" s="21"/>
      <c r="IGG20" s="21"/>
      <c r="IGH20" s="21"/>
      <c r="IGI20" s="21"/>
      <c r="IGJ20" s="21"/>
      <c r="IGK20" s="21"/>
      <c r="IGL20" s="21"/>
      <c r="IGM20" s="21"/>
      <c r="IGN20" s="21"/>
      <c r="IGO20" s="21"/>
      <c r="IGP20" s="21"/>
      <c r="IGQ20" s="21"/>
      <c r="IGR20" s="21"/>
      <c r="IGS20" s="21"/>
      <c r="IGT20" s="21"/>
      <c r="IGU20" s="21"/>
      <c r="IGV20" s="21"/>
      <c r="IGW20" s="21"/>
      <c r="IGX20" s="21"/>
      <c r="IGY20" s="21"/>
      <c r="IGZ20" s="21"/>
      <c r="IHA20" s="21"/>
      <c r="IHB20" s="21"/>
      <c r="IHC20" s="21"/>
      <c r="IHD20" s="21"/>
      <c r="IHE20" s="21"/>
      <c r="IHF20" s="21"/>
      <c r="IHG20" s="21"/>
      <c r="IHH20" s="21"/>
      <c r="IHI20" s="21"/>
      <c r="IHJ20" s="21"/>
      <c r="IHK20" s="21"/>
      <c r="IHL20" s="21"/>
      <c r="IHM20" s="21"/>
      <c r="IHN20" s="21"/>
      <c r="IHO20" s="21"/>
      <c r="IHP20" s="21"/>
      <c r="IHQ20" s="21"/>
      <c r="IHR20" s="21"/>
      <c r="IHS20" s="21"/>
      <c r="IHT20" s="21"/>
      <c r="IHU20" s="21"/>
      <c r="IHV20" s="21"/>
      <c r="IHW20" s="21"/>
      <c r="IHX20" s="21"/>
      <c r="IHY20" s="21"/>
      <c r="IHZ20" s="21"/>
      <c r="IIA20" s="21"/>
      <c r="IIB20" s="21"/>
      <c r="IIC20" s="21"/>
      <c r="IID20" s="21"/>
      <c r="IIE20" s="21"/>
      <c r="IIF20" s="21"/>
      <c r="IIG20" s="21"/>
      <c r="IIH20" s="21"/>
      <c r="III20" s="21"/>
      <c r="IIJ20" s="21"/>
      <c r="IIK20" s="21"/>
      <c r="IIL20" s="21"/>
      <c r="IIM20" s="21"/>
      <c r="IIN20" s="21"/>
      <c r="IIO20" s="21"/>
      <c r="IIP20" s="21"/>
      <c r="IIQ20" s="21"/>
      <c r="IIR20" s="21"/>
      <c r="IIS20" s="21"/>
      <c r="IIT20" s="21"/>
      <c r="IIU20" s="21"/>
      <c r="IIV20" s="21"/>
      <c r="IIW20" s="21"/>
      <c r="IIX20" s="21"/>
      <c r="IIY20" s="21"/>
      <c r="IIZ20" s="21"/>
      <c r="IJA20" s="21"/>
      <c r="IJB20" s="21"/>
      <c r="IJC20" s="21"/>
      <c r="IJD20" s="21"/>
      <c r="IJE20" s="21"/>
      <c r="IJF20" s="21"/>
      <c r="IJG20" s="21"/>
      <c r="IJH20" s="21"/>
      <c r="IJI20" s="21"/>
      <c r="IJJ20" s="21"/>
      <c r="IJK20" s="21"/>
      <c r="IJL20" s="21"/>
      <c r="IJM20" s="21"/>
      <c r="IJN20" s="21"/>
      <c r="IJO20" s="21"/>
      <c r="IJP20" s="21"/>
      <c r="IJQ20" s="21"/>
      <c r="IJR20" s="21"/>
      <c r="IJS20" s="21"/>
      <c r="IJT20" s="21"/>
      <c r="IJU20" s="21"/>
      <c r="IJV20" s="21"/>
      <c r="IJW20" s="21"/>
      <c r="IJX20" s="21"/>
      <c r="IJY20" s="21"/>
      <c r="IJZ20" s="21"/>
      <c r="IKA20" s="21"/>
      <c r="IKB20" s="21"/>
      <c r="IKC20" s="21"/>
      <c r="IKD20" s="21"/>
      <c r="IKE20" s="21"/>
      <c r="IKF20" s="21"/>
      <c r="IKG20" s="21"/>
      <c r="IKH20" s="21"/>
      <c r="IKI20" s="21"/>
      <c r="IKJ20" s="21"/>
      <c r="IKK20" s="21"/>
      <c r="IKL20" s="21"/>
      <c r="IKM20" s="21"/>
      <c r="IKN20" s="21"/>
      <c r="IKO20" s="21"/>
      <c r="IKP20" s="21"/>
      <c r="IKQ20" s="21"/>
      <c r="IKR20" s="21"/>
      <c r="IKS20" s="21"/>
      <c r="IKT20" s="21"/>
      <c r="IKU20" s="21"/>
      <c r="IKV20" s="21"/>
      <c r="IKW20" s="21"/>
      <c r="IKX20" s="21"/>
      <c r="IKY20" s="21"/>
      <c r="IKZ20" s="21"/>
      <c r="ILA20" s="21"/>
      <c r="ILB20" s="21"/>
      <c r="ILC20" s="21"/>
      <c r="ILD20" s="21"/>
      <c r="ILE20" s="21"/>
      <c r="ILF20" s="21"/>
      <c r="ILG20" s="21"/>
      <c r="ILH20" s="21"/>
      <c r="ILI20" s="21"/>
      <c r="ILJ20" s="21"/>
      <c r="ILK20" s="21"/>
      <c r="ILL20" s="21"/>
      <c r="ILM20" s="21"/>
      <c r="ILN20" s="21"/>
      <c r="ILO20" s="21"/>
      <c r="ILP20" s="21"/>
      <c r="ILQ20" s="21"/>
      <c r="ILR20" s="21"/>
      <c r="ILS20" s="21"/>
      <c r="ILT20" s="21"/>
      <c r="ILU20" s="21"/>
      <c r="ILV20" s="21"/>
      <c r="ILW20" s="21"/>
      <c r="ILX20" s="21"/>
      <c r="ILY20" s="21"/>
      <c r="ILZ20" s="21"/>
      <c r="IMA20" s="21"/>
      <c r="IMB20" s="21"/>
      <c r="IMC20" s="21"/>
      <c r="IMD20" s="21"/>
      <c r="IME20" s="21"/>
      <c r="IMF20" s="21"/>
      <c r="IMG20" s="21"/>
      <c r="IMH20" s="21"/>
      <c r="IMI20" s="21"/>
      <c r="IMJ20" s="21"/>
      <c r="IMK20" s="21"/>
      <c r="IML20" s="21"/>
      <c r="IMM20" s="21"/>
      <c r="IMN20" s="21"/>
      <c r="IMO20" s="21"/>
      <c r="IMP20" s="21"/>
      <c r="IMQ20" s="21"/>
      <c r="IMR20" s="21"/>
      <c r="IMS20" s="21"/>
      <c r="IMT20" s="21"/>
      <c r="IMU20" s="21"/>
      <c r="IMV20" s="21"/>
      <c r="IMW20" s="21"/>
      <c r="IMX20" s="21"/>
      <c r="IMY20" s="21"/>
      <c r="IMZ20" s="21"/>
      <c r="INA20" s="21"/>
      <c r="INB20" s="21"/>
      <c r="INC20" s="21"/>
      <c r="IND20" s="21"/>
      <c r="INE20" s="21"/>
      <c r="INF20" s="21"/>
      <c r="ING20" s="21"/>
      <c r="INH20" s="21"/>
      <c r="INI20" s="21"/>
      <c r="INJ20" s="21"/>
      <c r="INK20" s="21"/>
      <c r="INL20" s="21"/>
      <c r="INM20" s="21"/>
      <c r="INN20" s="21"/>
      <c r="INO20" s="21"/>
      <c r="INP20" s="21"/>
      <c r="INQ20" s="21"/>
      <c r="INR20" s="21"/>
      <c r="INS20" s="21"/>
      <c r="INT20" s="21"/>
      <c r="INU20" s="21"/>
      <c r="INV20" s="21"/>
      <c r="INW20" s="21"/>
      <c r="INX20" s="21"/>
      <c r="INY20" s="21"/>
      <c r="INZ20" s="21"/>
      <c r="IOA20" s="21"/>
      <c r="IOB20" s="21"/>
      <c r="IOC20" s="21"/>
      <c r="IOD20" s="21"/>
      <c r="IOE20" s="21"/>
      <c r="IOF20" s="21"/>
      <c r="IOG20" s="21"/>
      <c r="IOH20" s="21"/>
      <c r="IOI20" s="21"/>
      <c r="IOJ20" s="21"/>
      <c r="IOK20" s="21"/>
      <c r="IOL20" s="21"/>
      <c r="IOM20" s="21"/>
      <c r="ION20" s="21"/>
      <c r="IOO20" s="21"/>
      <c r="IOP20" s="21"/>
      <c r="IOQ20" s="21"/>
      <c r="IOR20" s="21"/>
      <c r="IOS20" s="21"/>
      <c r="IOT20" s="21"/>
      <c r="IOU20" s="21"/>
      <c r="IOV20" s="21"/>
      <c r="IOW20" s="21"/>
      <c r="IOX20" s="21"/>
      <c r="IOY20" s="21"/>
      <c r="IOZ20" s="21"/>
      <c r="IPA20" s="21"/>
      <c r="IPB20" s="21"/>
      <c r="IPC20" s="21"/>
      <c r="IPD20" s="21"/>
      <c r="IPE20" s="21"/>
      <c r="IPF20" s="21"/>
      <c r="IPG20" s="21"/>
      <c r="IPH20" s="21"/>
      <c r="IPI20" s="21"/>
      <c r="IPJ20" s="21"/>
      <c r="IPK20" s="21"/>
      <c r="IPL20" s="21"/>
      <c r="IPM20" s="21"/>
      <c r="IPN20" s="21"/>
      <c r="IPO20" s="21"/>
      <c r="IPP20" s="21"/>
      <c r="IPQ20" s="21"/>
      <c r="IPR20" s="21"/>
      <c r="IPS20" s="21"/>
      <c r="IPT20" s="21"/>
      <c r="IPU20" s="21"/>
      <c r="IPV20" s="21"/>
      <c r="IPW20" s="21"/>
      <c r="IPX20" s="21"/>
      <c r="IPY20" s="21"/>
      <c r="IPZ20" s="21"/>
      <c r="IQA20" s="21"/>
      <c r="IQB20" s="21"/>
      <c r="IQC20" s="21"/>
      <c r="IQD20" s="21"/>
      <c r="IQE20" s="21"/>
      <c r="IQF20" s="21"/>
      <c r="IQG20" s="21"/>
      <c r="IQH20" s="21"/>
      <c r="IQI20" s="21"/>
      <c r="IQJ20" s="21"/>
      <c r="IQK20" s="21"/>
      <c r="IQL20" s="21"/>
      <c r="IQM20" s="21"/>
      <c r="IQN20" s="21"/>
      <c r="IQO20" s="21"/>
      <c r="IQP20" s="21"/>
      <c r="IQQ20" s="21"/>
      <c r="IQR20" s="21"/>
      <c r="IQS20" s="21"/>
      <c r="IQT20" s="21"/>
      <c r="IQU20" s="21"/>
      <c r="IQV20" s="21"/>
      <c r="IQW20" s="21"/>
      <c r="IQX20" s="21"/>
      <c r="IQY20" s="21"/>
      <c r="IQZ20" s="21"/>
      <c r="IRA20" s="21"/>
      <c r="IRB20" s="21"/>
      <c r="IRC20" s="21"/>
      <c r="IRD20" s="21"/>
      <c r="IRE20" s="21"/>
      <c r="IRF20" s="21"/>
      <c r="IRG20" s="21"/>
      <c r="IRH20" s="21"/>
      <c r="IRI20" s="21"/>
      <c r="IRJ20" s="21"/>
      <c r="IRK20" s="21"/>
      <c r="IRL20" s="21"/>
      <c r="IRM20" s="21"/>
      <c r="IRN20" s="21"/>
      <c r="IRO20" s="21"/>
      <c r="IRP20" s="21"/>
      <c r="IRQ20" s="21"/>
      <c r="IRR20" s="21"/>
      <c r="IRS20" s="21"/>
      <c r="IRT20" s="21"/>
      <c r="IRU20" s="21"/>
      <c r="IRV20" s="21"/>
      <c r="IRW20" s="21"/>
      <c r="IRX20" s="21"/>
      <c r="IRY20" s="21"/>
      <c r="IRZ20" s="21"/>
      <c r="ISA20" s="21"/>
      <c r="ISB20" s="21"/>
      <c r="ISC20" s="21"/>
      <c r="ISD20" s="21"/>
      <c r="ISE20" s="21"/>
      <c r="ISF20" s="21"/>
      <c r="ISG20" s="21"/>
      <c r="ISH20" s="21"/>
      <c r="ISI20" s="21"/>
      <c r="ISJ20" s="21"/>
      <c r="ISK20" s="21"/>
      <c r="ISL20" s="21"/>
      <c r="ISM20" s="21"/>
      <c r="ISN20" s="21"/>
      <c r="ISO20" s="21"/>
      <c r="ISP20" s="21"/>
      <c r="ISQ20" s="21"/>
      <c r="ISR20" s="21"/>
      <c r="ISS20" s="21"/>
      <c r="IST20" s="21"/>
      <c r="ISU20" s="21"/>
      <c r="ISV20" s="21"/>
      <c r="ISW20" s="21"/>
      <c r="ISX20" s="21"/>
      <c r="ISY20" s="21"/>
      <c r="ISZ20" s="21"/>
      <c r="ITA20" s="21"/>
      <c r="ITB20" s="21"/>
      <c r="ITC20" s="21"/>
      <c r="ITD20" s="21"/>
      <c r="ITE20" s="21"/>
      <c r="ITF20" s="21"/>
      <c r="ITG20" s="21"/>
      <c r="ITH20" s="21"/>
      <c r="ITI20" s="21"/>
      <c r="ITJ20" s="21"/>
      <c r="ITK20" s="21"/>
      <c r="ITL20" s="21"/>
      <c r="ITM20" s="21"/>
      <c r="ITN20" s="21"/>
      <c r="ITO20" s="21"/>
      <c r="ITP20" s="21"/>
      <c r="ITQ20" s="21"/>
      <c r="ITR20" s="21"/>
      <c r="ITS20" s="21"/>
      <c r="ITT20" s="21"/>
      <c r="ITU20" s="21"/>
      <c r="ITV20" s="21"/>
      <c r="ITW20" s="21"/>
      <c r="ITX20" s="21"/>
      <c r="ITY20" s="21"/>
      <c r="ITZ20" s="21"/>
      <c r="IUA20" s="21"/>
      <c r="IUB20" s="21"/>
      <c r="IUC20" s="21"/>
      <c r="IUD20" s="21"/>
      <c r="IUE20" s="21"/>
      <c r="IUF20" s="21"/>
      <c r="IUG20" s="21"/>
      <c r="IUH20" s="21"/>
      <c r="IUI20" s="21"/>
      <c r="IUJ20" s="21"/>
      <c r="IUK20" s="21"/>
      <c r="IUL20" s="21"/>
      <c r="IUM20" s="21"/>
      <c r="IUN20" s="21"/>
      <c r="IUO20" s="21"/>
      <c r="IUP20" s="21"/>
      <c r="IUQ20" s="21"/>
      <c r="IUR20" s="21"/>
      <c r="IUS20" s="21"/>
      <c r="IUT20" s="21"/>
      <c r="IUU20" s="21"/>
      <c r="IUV20" s="21"/>
      <c r="IUW20" s="21"/>
      <c r="IUX20" s="21"/>
      <c r="IUY20" s="21"/>
      <c r="IUZ20" s="21"/>
      <c r="IVA20" s="21"/>
      <c r="IVB20" s="21"/>
      <c r="IVC20" s="21"/>
      <c r="IVD20" s="21"/>
      <c r="IVE20" s="21"/>
      <c r="IVF20" s="21"/>
      <c r="IVG20" s="21"/>
      <c r="IVH20" s="21"/>
      <c r="IVI20" s="21"/>
      <c r="IVJ20" s="21"/>
      <c r="IVK20" s="21"/>
      <c r="IVL20" s="21"/>
      <c r="IVM20" s="21"/>
      <c r="IVN20" s="21"/>
      <c r="IVO20" s="21"/>
      <c r="IVP20" s="21"/>
      <c r="IVQ20" s="21"/>
      <c r="IVR20" s="21"/>
      <c r="IVS20" s="21"/>
      <c r="IVT20" s="21"/>
      <c r="IVU20" s="21"/>
      <c r="IVV20" s="21"/>
      <c r="IVW20" s="21"/>
      <c r="IVX20" s="21"/>
      <c r="IVY20" s="21"/>
      <c r="IVZ20" s="21"/>
      <c r="IWA20" s="21"/>
      <c r="IWB20" s="21"/>
      <c r="IWC20" s="21"/>
      <c r="IWD20" s="21"/>
      <c r="IWE20" s="21"/>
      <c r="IWF20" s="21"/>
      <c r="IWG20" s="21"/>
      <c r="IWH20" s="21"/>
      <c r="IWI20" s="21"/>
      <c r="IWJ20" s="21"/>
      <c r="IWK20" s="21"/>
      <c r="IWL20" s="21"/>
      <c r="IWM20" s="21"/>
      <c r="IWN20" s="21"/>
      <c r="IWO20" s="21"/>
      <c r="IWP20" s="21"/>
      <c r="IWQ20" s="21"/>
      <c r="IWR20" s="21"/>
      <c r="IWS20" s="21"/>
      <c r="IWT20" s="21"/>
      <c r="IWU20" s="21"/>
      <c r="IWV20" s="21"/>
      <c r="IWW20" s="21"/>
      <c r="IWX20" s="21"/>
      <c r="IWY20" s="21"/>
      <c r="IWZ20" s="21"/>
      <c r="IXA20" s="21"/>
      <c r="IXB20" s="21"/>
      <c r="IXC20" s="21"/>
      <c r="IXD20" s="21"/>
      <c r="IXE20" s="21"/>
      <c r="IXF20" s="21"/>
      <c r="IXG20" s="21"/>
      <c r="IXH20" s="21"/>
      <c r="IXI20" s="21"/>
      <c r="IXJ20" s="21"/>
      <c r="IXK20" s="21"/>
      <c r="IXL20" s="21"/>
      <c r="IXM20" s="21"/>
      <c r="IXN20" s="21"/>
      <c r="IXO20" s="21"/>
      <c r="IXP20" s="21"/>
      <c r="IXQ20" s="21"/>
      <c r="IXR20" s="21"/>
      <c r="IXS20" s="21"/>
      <c r="IXT20" s="21"/>
      <c r="IXU20" s="21"/>
      <c r="IXV20" s="21"/>
      <c r="IXW20" s="21"/>
      <c r="IXX20" s="21"/>
      <c r="IXY20" s="21"/>
      <c r="IXZ20" s="21"/>
      <c r="IYA20" s="21"/>
      <c r="IYB20" s="21"/>
      <c r="IYC20" s="21"/>
      <c r="IYD20" s="21"/>
      <c r="IYE20" s="21"/>
      <c r="IYF20" s="21"/>
      <c r="IYG20" s="21"/>
      <c r="IYH20" s="21"/>
      <c r="IYI20" s="21"/>
      <c r="IYJ20" s="21"/>
      <c r="IYK20" s="21"/>
      <c r="IYL20" s="21"/>
      <c r="IYM20" s="21"/>
      <c r="IYN20" s="21"/>
      <c r="IYO20" s="21"/>
      <c r="IYP20" s="21"/>
      <c r="IYQ20" s="21"/>
      <c r="IYR20" s="21"/>
      <c r="IYS20" s="21"/>
      <c r="IYT20" s="21"/>
      <c r="IYU20" s="21"/>
      <c r="IYV20" s="21"/>
      <c r="IYW20" s="21"/>
      <c r="IYX20" s="21"/>
      <c r="IYY20" s="21"/>
      <c r="IYZ20" s="21"/>
      <c r="IZA20" s="21"/>
      <c r="IZB20" s="21"/>
      <c r="IZC20" s="21"/>
      <c r="IZD20" s="21"/>
      <c r="IZE20" s="21"/>
      <c r="IZF20" s="21"/>
      <c r="IZG20" s="21"/>
      <c r="IZH20" s="21"/>
      <c r="IZI20" s="21"/>
      <c r="IZJ20" s="21"/>
      <c r="IZK20" s="21"/>
      <c r="IZL20" s="21"/>
      <c r="IZM20" s="21"/>
      <c r="IZN20" s="21"/>
      <c r="IZO20" s="21"/>
      <c r="IZP20" s="21"/>
      <c r="IZQ20" s="21"/>
      <c r="IZR20" s="21"/>
      <c r="IZS20" s="21"/>
      <c r="IZT20" s="21"/>
      <c r="IZU20" s="21"/>
      <c r="IZV20" s="21"/>
      <c r="IZW20" s="21"/>
      <c r="IZX20" s="21"/>
      <c r="IZY20" s="21"/>
      <c r="IZZ20" s="21"/>
      <c r="JAA20" s="21"/>
      <c r="JAB20" s="21"/>
      <c r="JAC20" s="21"/>
      <c r="JAD20" s="21"/>
      <c r="JAE20" s="21"/>
      <c r="JAF20" s="21"/>
      <c r="JAG20" s="21"/>
      <c r="JAH20" s="21"/>
      <c r="JAI20" s="21"/>
      <c r="JAJ20" s="21"/>
      <c r="JAK20" s="21"/>
      <c r="JAL20" s="21"/>
      <c r="JAM20" s="21"/>
      <c r="JAN20" s="21"/>
      <c r="JAO20" s="21"/>
      <c r="JAP20" s="21"/>
      <c r="JAQ20" s="21"/>
      <c r="JAR20" s="21"/>
      <c r="JAS20" s="21"/>
      <c r="JAT20" s="21"/>
      <c r="JAU20" s="21"/>
      <c r="JAV20" s="21"/>
      <c r="JAW20" s="21"/>
      <c r="JAX20" s="21"/>
      <c r="JAY20" s="21"/>
      <c r="JAZ20" s="21"/>
      <c r="JBA20" s="21"/>
      <c r="JBB20" s="21"/>
      <c r="JBC20" s="21"/>
      <c r="JBD20" s="21"/>
      <c r="JBE20" s="21"/>
      <c r="JBF20" s="21"/>
      <c r="JBG20" s="21"/>
      <c r="JBH20" s="21"/>
      <c r="JBI20" s="21"/>
      <c r="JBJ20" s="21"/>
      <c r="JBK20" s="21"/>
      <c r="JBL20" s="21"/>
      <c r="JBM20" s="21"/>
      <c r="JBN20" s="21"/>
      <c r="JBO20" s="21"/>
      <c r="JBP20" s="21"/>
      <c r="JBQ20" s="21"/>
      <c r="JBR20" s="21"/>
      <c r="JBS20" s="21"/>
      <c r="JBT20" s="21"/>
      <c r="JBU20" s="21"/>
      <c r="JBV20" s="21"/>
      <c r="JBW20" s="21"/>
      <c r="JBX20" s="21"/>
      <c r="JBY20" s="21"/>
      <c r="JBZ20" s="21"/>
      <c r="JCA20" s="21"/>
      <c r="JCB20" s="21"/>
      <c r="JCC20" s="21"/>
      <c r="JCD20" s="21"/>
      <c r="JCE20" s="21"/>
      <c r="JCF20" s="21"/>
      <c r="JCG20" s="21"/>
      <c r="JCH20" s="21"/>
      <c r="JCI20" s="21"/>
      <c r="JCJ20" s="21"/>
      <c r="JCK20" s="21"/>
      <c r="JCL20" s="21"/>
      <c r="JCM20" s="21"/>
      <c r="JCN20" s="21"/>
      <c r="JCO20" s="21"/>
      <c r="JCP20" s="21"/>
      <c r="JCQ20" s="21"/>
      <c r="JCR20" s="21"/>
      <c r="JCS20" s="21"/>
      <c r="JCT20" s="21"/>
      <c r="JCU20" s="21"/>
      <c r="JCV20" s="21"/>
      <c r="JCW20" s="21"/>
      <c r="JCX20" s="21"/>
      <c r="JCY20" s="21"/>
      <c r="JCZ20" s="21"/>
      <c r="JDA20" s="21"/>
      <c r="JDB20" s="21"/>
      <c r="JDC20" s="21"/>
      <c r="JDD20" s="21"/>
      <c r="JDE20" s="21"/>
      <c r="JDF20" s="21"/>
      <c r="JDG20" s="21"/>
      <c r="JDH20" s="21"/>
      <c r="JDI20" s="21"/>
      <c r="JDJ20" s="21"/>
      <c r="JDK20" s="21"/>
      <c r="JDL20" s="21"/>
      <c r="JDM20" s="21"/>
      <c r="JDN20" s="21"/>
      <c r="JDO20" s="21"/>
      <c r="JDP20" s="21"/>
      <c r="JDQ20" s="21"/>
      <c r="JDR20" s="21"/>
      <c r="JDS20" s="21"/>
      <c r="JDT20" s="21"/>
      <c r="JDU20" s="21"/>
      <c r="JDV20" s="21"/>
      <c r="JDW20" s="21"/>
      <c r="JDX20" s="21"/>
      <c r="JDY20" s="21"/>
      <c r="JDZ20" s="21"/>
      <c r="JEA20" s="21"/>
      <c r="JEB20" s="21"/>
      <c r="JEC20" s="21"/>
      <c r="JED20" s="21"/>
      <c r="JEE20" s="21"/>
      <c r="JEF20" s="21"/>
      <c r="JEG20" s="21"/>
      <c r="JEH20" s="21"/>
      <c r="JEI20" s="21"/>
      <c r="JEJ20" s="21"/>
      <c r="JEK20" s="21"/>
      <c r="JEL20" s="21"/>
      <c r="JEM20" s="21"/>
      <c r="JEN20" s="21"/>
      <c r="JEO20" s="21"/>
      <c r="JEP20" s="21"/>
      <c r="JEQ20" s="21"/>
      <c r="JER20" s="21"/>
      <c r="JES20" s="21"/>
      <c r="JET20" s="21"/>
      <c r="JEU20" s="21"/>
      <c r="JEV20" s="21"/>
      <c r="JEW20" s="21"/>
      <c r="JEX20" s="21"/>
      <c r="JEY20" s="21"/>
      <c r="JEZ20" s="21"/>
      <c r="JFA20" s="21"/>
      <c r="JFB20" s="21"/>
      <c r="JFC20" s="21"/>
      <c r="JFD20" s="21"/>
      <c r="JFE20" s="21"/>
      <c r="JFF20" s="21"/>
      <c r="JFG20" s="21"/>
      <c r="JFH20" s="21"/>
      <c r="JFI20" s="21"/>
      <c r="JFJ20" s="21"/>
      <c r="JFK20" s="21"/>
      <c r="JFL20" s="21"/>
      <c r="JFM20" s="21"/>
      <c r="JFN20" s="21"/>
      <c r="JFO20" s="21"/>
      <c r="JFP20" s="21"/>
      <c r="JFQ20" s="21"/>
      <c r="JFR20" s="21"/>
      <c r="JFS20" s="21"/>
      <c r="JFT20" s="21"/>
      <c r="JFU20" s="21"/>
      <c r="JFV20" s="21"/>
      <c r="JFW20" s="21"/>
      <c r="JFX20" s="21"/>
      <c r="JFY20" s="21"/>
      <c r="JFZ20" s="21"/>
      <c r="JGA20" s="21"/>
      <c r="JGB20" s="21"/>
      <c r="JGC20" s="21"/>
      <c r="JGD20" s="21"/>
      <c r="JGE20" s="21"/>
      <c r="JGF20" s="21"/>
      <c r="JGG20" s="21"/>
      <c r="JGH20" s="21"/>
      <c r="JGI20" s="21"/>
      <c r="JGJ20" s="21"/>
      <c r="JGK20" s="21"/>
      <c r="JGL20" s="21"/>
      <c r="JGM20" s="21"/>
      <c r="JGN20" s="21"/>
      <c r="JGO20" s="21"/>
      <c r="JGP20" s="21"/>
      <c r="JGQ20" s="21"/>
      <c r="JGR20" s="21"/>
      <c r="JGS20" s="21"/>
      <c r="JGT20" s="21"/>
      <c r="JGU20" s="21"/>
      <c r="JGV20" s="21"/>
      <c r="JGW20" s="21"/>
      <c r="JGX20" s="21"/>
      <c r="JGY20" s="21"/>
      <c r="JGZ20" s="21"/>
      <c r="JHA20" s="21"/>
      <c r="JHB20" s="21"/>
      <c r="JHC20" s="21"/>
      <c r="JHD20" s="21"/>
      <c r="JHE20" s="21"/>
      <c r="JHF20" s="21"/>
      <c r="JHG20" s="21"/>
      <c r="JHH20" s="21"/>
      <c r="JHI20" s="21"/>
      <c r="JHJ20" s="21"/>
      <c r="JHK20" s="21"/>
      <c r="JHL20" s="21"/>
      <c r="JHM20" s="21"/>
      <c r="JHN20" s="21"/>
      <c r="JHO20" s="21"/>
      <c r="JHP20" s="21"/>
      <c r="JHQ20" s="21"/>
      <c r="JHR20" s="21"/>
      <c r="JHS20" s="21"/>
      <c r="JHT20" s="21"/>
      <c r="JHU20" s="21"/>
      <c r="JHV20" s="21"/>
      <c r="JHW20" s="21"/>
      <c r="JHX20" s="21"/>
      <c r="JHY20" s="21"/>
      <c r="JHZ20" s="21"/>
      <c r="JIA20" s="21"/>
      <c r="JIB20" s="21"/>
      <c r="JIC20" s="21"/>
      <c r="JID20" s="21"/>
      <c r="JIE20" s="21"/>
      <c r="JIF20" s="21"/>
      <c r="JIG20" s="21"/>
      <c r="JIH20" s="21"/>
      <c r="JII20" s="21"/>
      <c r="JIJ20" s="21"/>
      <c r="JIK20" s="21"/>
      <c r="JIL20" s="21"/>
      <c r="JIM20" s="21"/>
      <c r="JIN20" s="21"/>
      <c r="JIO20" s="21"/>
      <c r="JIP20" s="21"/>
      <c r="JIQ20" s="21"/>
      <c r="JIR20" s="21"/>
      <c r="JIS20" s="21"/>
      <c r="JIT20" s="21"/>
      <c r="JIU20" s="21"/>
      <c r="JIV20" s="21"/>
      <c r="JIW20" s="21"/>
      <c r="JIX20" s="21"/>
      <c r="JIY20" s="21"/>
      <c r="JIZ20" s="21"/>
      <c r="JJA20" s="21"/>
      <c r="JJB20" s="21"/>
      <c r="JJC20" s="21"/>
      <c r="JJD20" s="21"/>
      <c r="JJE20" s="21"/>
      <c r="JJF20" s="21"/>
      <c r="JJG20" s="21"/>
      <c r="JJH20" s="21"/>
      <c r="JJI20" s="21"/>
      <c r="JJJ20" s="21"/>
      <c r="JJK20" s="21"/>
      <c r="JJL20" s="21"/>
      <c r="JJM20" s="21"/>
      <c r="JJN20" s="21"/>
      <c r="JJO20" s="21"/>
      <c r="JJP20" s="21"/>
      <c r="JJQ20" s="21"/>
      <c r="JJR20" s="21"/>
      <c r="JJS20" s="21"/>
      <c r="JJT20" s="21"/>
      <c r="JJU20" s="21"/>
      <c r="JJV20" s="21"/>
      <c r="JJW20" s="21"/>
      <c r="JJX20" s="21"/>
      <c r="JJY20" s="21"/>
      <c r="JJZ20" s="21"/>
      <c r="JKA20" s="21"/>
      <c r="JKB20" s="21"/>
      <c r="JKC20" s="21"/>
      <c r="JKD20" s="21"/>
      <c r="JKE20" s="21"/>
      <c r="JKF20" s="21"/>
      <c r="JKG20" s="21"/>
      <c r="JKH20" s="21"/>
      <c r="JKI20" s="21"/>
      <c r="JKJ20" s="21"/>
      <c r="JKK20" s="21"/>
      <c r="JKL20" s="21"/>
      <c r="JKM20" s="21"/>
      <c r="JKN20" s="21"/>
      <c r="JKO20" s="21"/>
      <c r="JKP20" s="21"/>
      <c r="JKQ20" s="21"/>
      <c r="JKR20" s="21"/>
      <c r="JKS20" s="21"/>
      <c r="JKT20" s="21"/>
      <c r="JKU20" s="21"/>
      <c r="JKV20" s="21"/>
      <c r="JKW20" s="21"/>
      <c r="JKX20" s="21"/>
      <c r="JKY20" s="21"/>
      <c r="JKZ20" s="21"/>
      <c r="JLA20" s="21"/>
      <c r="JLB20" s="21"/>
      <c r="JLC20" s="21"/>
      <c r="JLD20" s="21"/>
      <c r="JLE20" s="21"/>
      <c r="JLF20" s="21"/>
      <c r="JLG20" s="21"/>
      <c r="JLH20" s="21"/>
      <c r="JLI20" s="21"/>
      <c r="JLJ20" s="21"/>
      <c r="JLK20" s="21"/>
      <c r="JLL20" s="21"/>
      <c r="JLM20" s="21"/>
      <c r="JLN20" s="21"/>
      <c r="JLO20" s="21"/>
      <c r="JLP20" s="21"/>
      <c r="JLQ20" s="21"/>
      <c r="JLR20" s="21"/>
      <c r="JLS20" s="21"/>
      <c r="JLT20" s="21"/>
      <c r="JLU20" s="21"/>
      <c r="JLV20" s="21"/>
      <c r="JLW20" s="21"/>
      <c r="JLX20" s="21"/>
      <c r="JLY20" s="21"/>
      <c r="JLZ20" s="21"/>
      <c r="JMA20" s="21"/>
      <c r="JMB20" s="21"/>
      <c r="JMC20" s="21"/>
      <c r="JMD20" s="21"/>
      <c r="JME20" s="21"/>
      <c r="JMF20" s="21"/>
      <c r="JMG20" s="21"/>
      <c r="JMH20" s="21"/>
      <c r="JMI20" s="21"/>
      <c r="JMJ20" s="21"/>
      <c r="JMK20" s="21"/>
      <c r="JML20" s="21"/>
      <c r="JMM20" s="21"/>
      <c r="JMN20" s="21"/>
      <c r="JMO20" s="21"/>
      <c r="JMP20" s="21"/>
      <c r="JMQ20" s="21"/>
      <c r="JMR20" s="21"/>
      <c r="JMS20" s="21"/>
      <c r="JMT20" s="21"/>
      <c r="JMU20" s="21"/>
      <c r="JMV20" s="21"/>
      <c r="JMW20" s="21"/>
      <c r="JMX20" s="21"/>
      <c r="JMY20" s="21"/>
      <c r="JMZ20" s="21"/>
      <c r="JNA20" s="21"/>
      <c r="JNB20" s="21"/>
      <c r="JNC20" s="21"/>
      <c r="JND20" s="21"/>
      <c r="JNE20" s="21"/>
      <c r="JNF20" s="21"/>
      <c r="JNG20" s="21"/>
      <c r="JNH20" s="21"/>
      <c r="JNI20" s="21"/>
      <c r="JNJ20" s="21"/>
      <c r="JNK20" s="21"/>
      <c r="JNL20" s="21"/>
      <c r="JNM20" s="21"/>
      <c r="JNN20" s="21"/>
      <c r="JNO20" s="21"/>
      <c r="JNP20" s="21"/>
      <c r="JNQ20" s="21"/>
      <c r="JNR20" s="21"/>
      <c r="JNS20" s="21"/>
      <c r="JNT20" s="21"/>
      <c r="JNU20" s="21"/>
      <c r="JNV20" s="21"/>
      <c r="JNW20" s="21"/>
      <c r="JNX20" s="21"/>
      <c r="JNY20" s="21"/>
      <c r="JNZ20" s="21"/>
      <c r="JOA20" s="21"/>
      <c r="JOB20" s="21"/>
      <c r="JOC20" s="21"/>
      <c r="JOD20" s="21"/>
      <c r="JOE20" s="21"/>
      <c r="JOF20" s="21"/>
      <c r="JOG20" s="21"/>
      <c r="JOH20" s="21"/>
      <c r="JOI20" s="21"/>
      <c r="JOJ20" s="21"/>
      <c r="JOK20" s="21"/>
      <c r="JOL20" s="21"/>
      <c r="JOM20" s="21"/>
      <c r="JON20" s="21"/>
      <c r="JOO20" s="21"/>
      <c r="JOP20" s="21"/>
      <c r="JOQ20" s="21"/>
      <c r="JOR20" s="21"/>
      <c r="JOS20" s="21"/>
      <c r="JOT20" s="21"/>
      <c r="JOU20" s="21"/>
      <c r="JOV20" s="21"/>
      <c r="JOW20" s="21"/>
      <c r="JOX20" s="21"/>
      <c r="JOY20" s="21"/>
      <c r="JOZ20" s="21"/>
      <c r="JPA20" s="21"/>
      <c r="JPB20" s="21"/>
      <c r="JPC20" s="21"/>
      <c r="JPD20" s="21"/>
      <c r="JPE20" s="21"/>
      <c r="JPF20" s="21"/>
      <c r="JPG20" s="21"/>
      <c r="JPH20" s="21"/>
      <c r="JPI20" s="21"/>
      <c r="JPJ20" s="21"/>
      <c r="JPK20" s="21"/>
      <c r="JPL20" s="21"/>
      <c r="JPM20" s="21"/>
      <c r="JPN20" s="21"/>
      <c r="JPO20" s="21"/>
      <c r="JPP20" s="21"/>
      <c r="JPQ20" s="21"/>
      <c r="JPR20" s="21"/>
      <c r="JPS20" s="21"/>
      <c r="JPT20" s="21"/>
      <c r="JPU20" s="21"/>
      <c r="JPV20" s="21"/>
      <c r="JPW20" s="21"/>
      <c r="JPX20" s="21"/>
      <c r="JPY20" s="21"/>
      <c r="JPZ20" s="21"/>
      <c r="JQA20" s="21"/>
      <c r="JQB20" s="21"/>
      <c r="JQC20" s="21"/>
      <c r="JQD20" s="21"/>
      <c r="JQE20" s="21"/>
      <c r="JQF20" s="21"/>
      <c r="JQG20" s="21"/>
      <c r="JQH20" s="21"/>
      <c r="JQI20" s="21"/>
      <c r="JQJ20" s="21"/>
      <c r="JQK20" s="21"/>
      <c r="JQL20" s="21"/>
      <c r="JQM20" s="21"/>
      <c r="JQN20" s="21"/>
      <c r="JQO20" s="21"/>
      <c r="JQP20" s="21"/>
      <c r="JQQ20" s="21"/>
      <c r="JQR20" s="21"/>
      <c r="JQS20" s="21"/>
      <c r="JQT20" s="21"/>
      <c r="JQU20" s="21"/>
      <c r="JQV20" s="21"/>
      <c r="JQW20" s="21"/>
      <c r="JQX20" s="21"/>
      <c r="JQY20" s="21"/>
      <c r="JQZ20" s="21"/>
      <c r="JRA20" s="21"/>
      <c r="JRB20" s="21"/>
      <c r="JRC20" s="21"/>
      <c r="JRD20" s="21"/>
      <c r="JRE20" s="21"/>
      <c r="JRF20" s="21"/>
      <c r="JRG20" s="21"/>
      <c r="JRH20" s="21"/>
      <c r="JRI20" s="21"/>
      <c r="JRJ20" s="21"/>
      <c r="JRK20" s="21"/>
      <c r="JRL20" s="21"/>
      <c r="JRM20" s="21"/>
      <c r="JRN20" s="21"/>
      <c r="JRO20" s="21"/>
      <c r="JRP20" s="21"/>
      <c r="JRQ20" s="21"/>
      <c r="JRR20" s="21"/>
      <c r="JRS20" s="21"/>
      <c r="JRT20" s="21"/>
      <c r="JRU20" s="21"/>
      <c r="JRV20" s="21"/>
      <c r="JRW20" s="21"/>
      <c r="JRX20" s="21"/>
      <c r="JRY20" s="21"/>
      <c r="JRZ20" s="21"/>
      <c r="JSA20" s="21"/>
      <c r="JSB20" s="21"/>
      <c r="JSC20" s="21"/>
      <c r="JSD20" s="21"/>
      <c r="JSE20" s="21"/>
      <c r="JSF20" s="21"/>
      <c r="JSG20" s="21"/>
      <c r="JSH20" s="21"/>
      <c r="JSI20" s="21"/>
      <c r="JSJ20" s="21"/>
      <c r="JSK20" s="21"/>
      <c r="JSL20" s="21"/>
      <c r="JSM20" s="21"/>
      <c r="JSN20" s="21"/>
      <c r="JSO20" s="21"/>
      <c r="JSP20" s="21"/>
      <c r="JSQ20" s="21"/>
      <c r="JSR20" s="21"/>
      <c r="JSS20" s="21"/>
      <c r="JST20" s="21"/>
      <c r="JSU20" s="21"/>
      <c r="JSV20" s="21"/>
      <c r="JSW20" s="21"/>
      <c r="JSX20" s="21"/>
      <c r="JSY20" s="21"/>
      <c r="JSZ20" s="21"/>
      <c r="JTA20" s="21"/>
      <c r="JTB20" s="21"/>
      <c r="JTC20" s="21"/>
      <c r="JTD20" s="21"/>
      <c r="JTE20" s="21"/>
      <c r="JTF20" s="21"/>
      <c r="JTG20" s="21"/>
      <c r="JTH20" s="21"/>
      <c r="JTI20" s="21"/>
      <c r="JTJ20" s="21"/>
      <c r="JTK20" s="21"/>
      <c r="JTL20" s="21"/>
      <c r="JTM20" s="21"/>
      <c r="JTN20" s="21"/>
      <c r="JTO20" s="21"/>
      <c r="JTP20" s="21"/>
      <c r="JTQ20" s="21"/>
      <c r="JTR20" s="21"/>
      <c r="JTS20" s="21"/>
      <c r="JTT20" s="21"/>
      <c r="JTU20" s="21"/>
      <c r="JTV20" s="21"/>
      <c r="JTW20" s="21"/>
      <c r="JTX20" s="21"/>
      <c r="JTY20" s="21"/>
      <c r="JTZ20" s="21"/>
      <c r="JUA20" s="21"/>
      <c r="JUB20" s="21"/>
      <c r="JUC20" s="21"/>
      <c r="JUD20" s="21"/>
      <c r="JUE20" s="21"/>
      <c r="JUF20" s="21"/>
      <c r="JUG20" s="21"/>
      <c r="JUH20" s="21"/>
      <c r="JUI20" s="21"/>
      <c r="JUJ20" s="21"/>
      <c r="JUK20" s="21"/>
      <c r="JUL20" s="21"/>
      <c r="JUM20" s="21"/>
      <c r="JUN20" s="21"/>
      <c r="JUO20" s="21"/>
      <c r="JUP20" s="21"/>
      <c r="JUQ20" s="21"/>
      <c r="JUR20" s="21"/>
      <c r="JUS20" s="21"/>
      <c r="JUT20" s="21"/>
      <c r="JUU20" s="21"/>
      <c r="JUV20" s="21"/>
      <c r="JUW20" s="21"/>
      <c r="JUX20" s="21"/>
      <c r="JUY20" s="21"/>
      <c r="JUZ20" s="21"/>
      <c r="JVA20" s="21"/>
      <c r="JVB20" s="21"/>
      <c r="JVC20" s="21"/>
      <c r="JVD20" s="21"/>
      <c r="JVE20" s="21"/>
      <c r="JVF20" s="21"/>
      <c r="JVG20" s="21"/>
      <c r="JVH20" s="21"/>
      <c r="JVI20" s="21"/>
      <c r="JVJ20" s="21"/>
      <c r="JVK20" s="21"/>
      <c r="JVL20" s="21"/>
      <c r="JVM20" s="21"/>
      <c r="JVN20" s="21"/>
      <c r="JVO20" s="21"/>
      <c r="JVP20" s="21"/>
      <c r="JVQ20" s="21"/>
      <c r="JVR20" s="21"/>
      <c r="JVS20" s="21"/>
      <c r="JVT20" s="21"/>
      <c r="JVU20" s="21"/>
      <c r="JVV20" s="21"/>
      <c r="JVW20" s="21"/>
      <c r="JVX20" s="21"/>
      <c r="JVY20" s="21"/>
      <c r="JVZ20" s="21"/>
      <c r="JWA20" s="21"/>
      <c r="JWB20" s="21"/>
      <c r="JWC20" s="21"/>
      <c r="JWD20" s="21"/>
      <c r="JWE20" s="21"/>
      <c r="JWF20" s="21"/>
      <c r="JWG20" s="21"/>
      <c r="JWH20" s="21"/>
      <c r="JWI20" s="21"/>
      <c r="JWJ20" s="21"/>
      <c r="JWK20" s="21"/>
      <c r="JWL20" s="21"/>
      <c r="JWM20" s="21"/>
      <c r="JWN20" s="21"/>
      <c r="JWO20" s="21"/>
      <c r="JWP20" s="21"/>
      <c r="JWQ20" s="21"/>
      <c r="JWR20" s="21"/>
      <c r="JWS20" s="21"/>
      <c r="JWT20" s="21"/>
      <c r="JWU20" s="21"/>
      <c r="JWV20" s="21"/>
      <c r="JWW20" s="21"/>
      <c r="JWX20" s="21"/>
      <c r="JWY20" s="21"/>
      <c r="JWZ20" s="21"/>
      <c r="JXA20" s="21"/>
      <c r="JXB20" s="21"/>
      <c r="JXC20" s="21"/>
      <c r="JXD20" s="21"/>
      <c r="JXE20" s="21"/>
      <c r="JXF20" s="21"/>
      <c r="JXG20" s="21"/>
      <c r="JXH20" s="21"/>
      <c r="JXI20" s="21"/>
      <c r="JXJ20" s="21"/>
      <c r="JXK20" s="21"/>
      <c r="JXL20" s="21"/>
      <c r="JXM20" s="21"/>
      <c r="JXN20" s="21"/>
      <c r="JXO20" s="21"/>
      <c r="JXP20" s="21"/>
      <c r="JXQ20" s="21"/>
      <c r="JXR20" s="21"/>
      <c r="JXS20" s="21"/>
      <c r="JXT20" s="21"/>
      <c r="JXU20" s="21"/>
      <c r="JXV20" s="21"/>
      <c r="JXW20" s="21"/>
      <c r="JXX20" s="21"/>
      <c r="JXY20" s="21"/>
      <c r="JXZ20" s="21"/>
      <c r="JYA20" s="21"/>
      <c r="JYB20" s="21"/>
      <c r="JYC20" s="21"/>
      <c r="JYD20" s="21"/>
      <c r="JYE20" s="21"/>
      <c r="JYF20" s="21"/>
      <c r="JYG20" s="21"/>
      <c r="JYH20" s="21"/>
      <c r="JYI20" s="21"/>
      <c r="JYJ20" s="21"/>
      <c r="JYK20" s="21"/>
      <c r="JYL20" s="21"/>
      <c r="JYM20" s="21"/>
      <c r="JYN20" s="21"/>
      <c r="JYO20" s="21"/>
      <c r="JYP20" s="21"/>
      <c r="JYQ20" s="21"/>
      <c r="JYR20" s="21"/>
      <c r="JYS20" s="21"/>
      <c r="JYT20" s="21"/>
      <c r="JYU20" s="21"/>
      <c r="JYV20" s="21"/>
      <c r="JYW20" s="21"/>
      <c r="JYX20" s="21"/>
      <c r="JYY20" s="21"/>
      <c r="JYZ20" s="21"/>
      <c r="JZA20" s="21"/>
      <c r="JZB20" s="21"/>
      <c r="JZC20" s="21"/>
      <c r="JZD20" s="21"/>
      <c r="JZE20" s="21"/>
      <c r="JZF20" s="21"/>
      <c r="JZG20" s="21"/>
      <c r="JZH20" s="21"/>
      <c r="JZI20" s="21"/>
      <c r="JZJ20" s="21"/>
      <c r="JZK20" s="21"/>
      <c r="JZL20" s="21"/>
      <c r="JZM20" s="21"/>
      <c r="JZN20" s="21"/>
      <c r="JZO20" s="21"/>
      <c r="JZP20" s="21"/>
      <c r="JZQ20" s="21"/>
      <c r="JZR20" s="21"/>
      <c r="JZS20" s="21"/>
      <c r="JZT20" s="21"/>
      <c r="JZU20" s="21"/>
      <c r="JZV20" s="21"/>
      <c r="JZW20" s="21"/>
      <c r="JZX20" s="21"/>
      <c r="JZY20" s="21"/>
      <c r="JZZ20" s="21"/>
      <c r="KAA20" s="21"/>
      <c r="KAB20" s="21"/>
      <c r="KAC20" s="21"/>
      <c r="KAD20" s="21"/>
      <c r="KAE20" s="21"/>
      <c r="KAF20" s="21"/>
      <c r="KAG20" s="21"/>
      <c r="KAH20" s="21"/>
      <c r="KAI20" s="21"/>
      <c r="KAJ20" s="21"/>
      <c r="KAK20" s="21"/>
      <c r="KAL20" s="21"/>
      <c r="KAM20" s="21"/>
      <c r="KAN20" s="21"/>
      <c r="KAO20" s="21"/>
      <c r="KAP20" s="21"/>
      <c r="KAQ20" s="21"/>
      <c r="KAR20" s="21"/>
      <c r="KAS20" s="21"/>
      <c r="KAT20" s="21"/>
      <c r="KAU20" s="21"/>
      <c r="KAV20" s="21"/>
      <c r="KAW20" s="21"/>
      <c r="KAX20" s="21"/>
      <c r="KAY20" s="21"/>
      <c r="KAZ20" s="21"/>
      <c r="KBA20" s="21"/>
      <c r="KBB20" s="21"/>
      <c r="KBC20" s="21"/>
      <c r="KBD20" s="21"/>
      <c r="KBE20" s="21"/>
      <c r="KBF20" s="21"/>
      <c r="KBG20" s="21"/>
      <c r="KBH20" s="21"/>
      <c r="KBI20" s="21"/>
      <c r="KBJ20" s="21"/>
      <c r="KBK20" s="21"/>
      <c r="KBL20" s="21"/>
      <c r="KBM20" s="21"/>
      <c r="KBN20" s="21"/>
      <c r="KBO20" s="21"/>
      <c r="KBP20" s="21"/>
      <c r="KBQ20" s="21"/>
      <c r="KBR20" s="21"/>
      <c r="KBS20" s="21"/>
      <c r="KBT20" s="21"/>
      <c r="KBU20" s="21"/>
      <c r="KBV20" s="21"/>
      <c r="KBW20" s="21"/>
      <c r="KBX20" s="21"/>
      <c r="KBY20" s="21"/>
      <c r="KBZ20" s="21"/>
      <c r="KCA20" s="21"/>
      <c r="KCB20" s="21"/>
      <c r="KCC20" s="21"/>
      <c r="KCD20" s="21"/>
      <c r="KCE20" s="21"/>
      <c r="KCF20" s="21"/>
      <c r="KCG20" s="21"/>
      <c r="KCH20" s="21"/>
      <c r="KCI20" s="21"/>
      <c r="KCJ20" s="21"/>
      <c r="KCK20" s="21"/>
      <c r="KCL20" s="21"/>
      <c r="KCM20" s="21"/>
      <c r="KCN20" s="21"/>
      <c r="KCO20" s="21"/>
      <c r="KCP20" s="21"/>
      <c r="KCQ20" s="21"/>
      <c r="KCR20" s="21"/>
      <c r="KCS20" s="21"/>
      <c r="KCT20" s="21"/>
      <c r="KCU20" s="21"/>
      <c r="KCV20" s="21"/>
      <c r="KCW20" s="21"/>
      <c r="KCX20" s="21"/>
      <c r="KCY20" s="21"/>
      <c r="KCZ20" s="21"/>
      <c r="KDA20" s="21"/>
      <c r="KDB20" s="21"/>
      <c r="KDC20" s="21"/>
      <c r="KDD20" s="21"/>
      <c r="KDE20" s="21"/>
      <c r="KDF20" s="21"/>
      <c r="KDG20" s="21"/>
      <c r="KDH20" s="21"/>
      <c r="KDI20" s="21"/>
      <c r="KDJ20" s="21"/>
      <c r="KDK20" s="21"/>
      <c r="KDL20" s="21"/>
      <c r="KDM20" s="21"/>
      <c r="KDN20" s="21"/>
      <c r="KDO20" s="21"/>
      <c r="KDP20" s="21"/>
      <c r="KDQ20" s="21"/>
      <c r="KDR20" s="21"/>
      <c r="KDS20" s="21"/>
      <c r="KDT20" s="21"/>
      <c r="KDU20" s="21"/>
      <c r="KDV20" s="21"/>
      <c r="KDW20" s="21"/>
      <c r="KDX20" s="21"/>
      <c r="KDY20" s="21"/>
      <c r="KDZ20" s="21"/>
      <c r="KEA20" s="21"/>
      <c r="KEB20" s="21"/>
      <c r="KEC20" s="21"/>
      <c r="KED20" s="21"/>
      <c r="KEE20" s="21"/>
      <c r="KEF20" s="21"/>
      <c r="KEG20" s="21"/>
      <c r="KEH20" s="21"/>
      <c r="KEI20" s="21"/>
      <c r="KEJ20" s="21"/>
      <c r="KEK20" s="21"/>
      <c r="KEL20" s="21"/>
      <c r="KEM20" s="21"/>
      <c r="KEN20" s="21"/>
      <c r="KEO20" s="21"/>
      <c r="KEP20" s="21"/>
      <c r="KEQ20" s="21"/>
      <c r="KER20" s="21"/>
      <c r="KES20" s="21"/>
      <c r="KET20" s="21"/>
      <c r="KEU20" s="21"/>
      <c r="KEV20" s="21"/>
      <c r="KEW20" s="21"/>
      <c r="KEX20" s="21"/>
      <c r="KEY20" s="21"/>
      <c r="KEZ20" s="21"/>
      <c r="KFA20" s="21"/>
      <c r="KFB20" s="21"/>
      <c r="KFC20" s="21"/>
      <c r="KFD20" s="21"/>
      <c r="KFE20" s="21"/>
      <c r="KFF20" s="21"/>
      <c r="KFG20" s="21"/>
      <c r="KFH20" s="21"/>
      <c r="KFI20" s="21"/>
      <c r="KFJ20" s="21"/>
      <c r="KFK20" s="21"/>
      <c r="KFL20" s="21"/>
      <c r="KFM20" s="21"/>
      <c r="KFN20" s="21"/>
      <c r="KFO20" s="21"/>
      <c r="KFP20" s="21"/>
      <c r="KFQ20" s="21"/>
      <c r="KFR20" s="21"/>
      <c r="KFS20" s="21"/>
      <c r="KFT20" s="21"/>
      <c r="KFU20" s="21"/>
      <c r="KFV20" s="21"/>
      <c r="KFW20" s="21"/>
      <c r="KFX20" s="21"/>
      <c r="KFY20" s="21"/>
      <c r="KFZ20" s="21"/>
      <c r="KGA20" s="21"/>
      <c r="KGB20" s="21"/>
      <c r="KGC20" s="21"/>
      <c r="KGD20" s="21"/>
      <c r="KGE20" s="21"/>
      <c r="KGF20" s="21"/>
      <c r="KGG20" s="21"/>
      <c r="KGH20" s="21"/>
      <c r="KGI20" s="21"/>
      <c r="KGJ20" s="21"/>
      <c r="KGK20" s="21"/>
      <c r="KGL20" s="21"/>
      <c r="KGM20" s="21"/>
      <c r="KGN20" s="21"/>
      <c r="KGO20" s="21"/>
      <c r="KGP20" s="21"/>
      <c r="KGQ20" s="21"/>
      <c r="KGR20" s="21"/>
      <c r="KGS20" s="21"/>
      <c r="KGT20" s="21"/>
      <c r="KGU20" s="21"/>
      <c r="KGV20" s="21"/>
      <c r="KGW20" s="21"/>
      <c r="KGX20" s="21"/>
      <c r="KGY20" s="21"/>
      <c r="KGZ20" s="21"/>
      <c r="KHA20" s="21"/>
      <c r="KHB20" s="21"/>
      <c r="KHC20" s="21"/>
      <c r="KHD20" s="21"/>
      <c r="KHE20" s="21"/>
      <c r="KHF20" s="21"/>
      <c r="KHG20" s="21"/>
      <c r="KHH20" s="21"/>
      <c r="KHI20" s="21"/>
      <c r="KHJ20" s="21"/>
      <c r="KHK20" s="21"/>
      <c r="KHL20" s="21"/>
      <c r="KHM20" s="21"/>
      <c r="KHN20" s="21"/>
      <c r="KHO20" s="21"/>
      <c r="KHP20" s="21"/>
      <c r="KHQ20" s="21"/>
      <c r="KHR20" s="21"/>
      <c r="KHS20" s="21"/>
      <c r="KHT20" s="21"/>
      <c r="KHU20" s="21"/>
      <c r="KHV20" s="21"/>
      <c r="KHW20" s="21"/>
      <c r="KHX20" s="21"/>
      <c r="KHY20" s="21"/>
      <c r="KHZ20" s="21"/>
      <c r="KIA20" s="21"/>
      <c r="KIB20" s="21"/>
      <c r="KIC20" s="21"/>
      <c r="KID20" s="21"/>
      <c r="KIE20" s="21"/>
      <c r="KIF20" s="21"/>
      <c r="KIG20" s="21"/>
      <c r="KIH20" s="21"/>
      <c r="KII20" s="21"/>
      <c r="KIJ20" s="21"/>
      <c r="KIK20" s="21"/>
      <c r="KIL20" s="21"/>
      <c r="KIM20" s="21"/>
      <c r="KIN20" s="21"/>
      <c r="KIO20" s="21"/>
      <c r="KIP20" s="21"/>
      <c r="KIQ20" s="21"/>
      <c r="KIR20" s="21"/>
      <c r="KIS20" s="21"/>
      <c r="KIT20" s="21"/>
      <c r="KIU20" s="21"/>
      <c r="KIV20" s="21"/>
      <c r="KIW20" s="21"/>
      <c r="KIX20" s="21"/>
      <c r="KIY20" s="21"/>
      <c r="KIZ20" s="21"/>
      <c r="KJA20" s="21"/>
      <c r="KJB20" s="21"/>
      <c r="KJC20" s="21"/>
      <c r="KJD20" s="21"/>
      <c r="KJE20" s="21"/>
      <c r="KJF20" s="21"/>
      <c r="KJG20" s="21"/>
      <c r="KJH20" s="21"/>
      <c r="KJI20" s="21"/>
      <c r="KJJ20" s="21"/>
      <c r="KJK20" s="21"/>
      <c r="KJL20" s="21"/>
      <c r="KJM20" s="21"/>
      <c r="KJN20" s="21"/>
      <c r="KJO20" s="21"/>
      <c r="KJP20" s="21"/>
      <c r="KJQ20" s="21"/>
      <c r="KJR20" s="21"/>
      <c r="KJS20" s="21"/>
      <c r="KJT20" s="21"/>
      <c r="KJU20" s="21"/>
      <c r="KJV20" s="21"/>
      <c r="KJW20" s="21"/>
      <c r="KJX20" s="21"/>
      <c r="KJY20" s="21"/>
      <c r="KJZ20" s="21"/>
      <c r="KKA20" s="21"/>
      <c r="KKB20" s="21"/>
      <c r="KKC20" s="21"/>
      <c r="KKD20" s="21"/>
      <c r="KKE20" s="21"/>
      <c r="KKF20" s="21"/>
      <c r="KKG20" s="21"/>
      <c r="KKH20" s="21"/>
      <c r="KKI20" s="21"/>
      <c r="KKJ20" s="21"/>
      <c r="KKK20" s="21"/>
      <c r="KKL20" s="21"/>
      <c r="KKM20" s="21"/>
      <c r="KKN20" s="21"/>
      <c r="KKO20" s="21"/>
      <c r="KKP20" s="21"/>
      <c r="KKQ20" s="21"/>
      <c r="KKR20" s="21"/>
      <c r="KKS20" s="21"/>
      <c r="KKT20" s="21"/>
      <c r="KKU20" s="21"/>
      <c r="KKV20" s="21"/>
      <c r="KKW20" s="21"/>
      <c r="KKX20" s="21"/>
      <c r="KKY20" s="21"/>
      <c r="KKZ20" s="21"/>
      <c r="KLA20" s="21"/>
      <c r="KLB20" s="21"/>
      <c r="KLC20" s="21"/>
      <c r="KLD20" s="21"/>
      <c r="KLE20" s="21"/>
      <c r="KLF20" s="21"/>
      <c r="KLG20" s="21"/>
      <c r="KLH20" s="21"/>
      <c r="KLI20" s="21"/>
      <c r="KLJ20" s="21"/>
      <c r="KLK20" s="21"/>
      <c r="KLL20" s="21"/>
      <c r="KLM20" s="21"/>
      <c r="KLN20" s="21"/>
      <c r="KLO20" s="21"/>
      <c r="KLP20" s="21"/>
      <c r="KLQ20" s="21"/>
      <c r="KLR20" s="21"/>
      <c r="KLS20" s="21"/>
      <c r="KLT20" s="21"/>
      <c r="KLU20" s="21"/>
      <c r="KLV20" s="21"/>
      <c r="KLW20" s="21"/>
      <c r="KLX20" s="21"/>
      <c r="KLY20" s="21"/>
      <c r="KLZ20" s="21"/>
      <c r="KMA20" s="21"/>
      <c r="KMB20" s="21"/>
      <c r="KMC20" s="21"/>
      <c r="KMD20" s="21"/>
      <c r="KME20" s="21"/>
      <c r="KMF20" s="21"/>
      <c r="KMG20" s="21"/>
      <c r="KMH20" s="21"/>
      <c r="KMI20" s="21"/>
      <c r="KMJ20" s="21"/>
      <c r="KMK20" s="21"/>
      <c r="KML20" s="21"/>
      <c r="KMM20" s="21"/>
      <c r="KMN20" s="21"/>
      <c r="KMO20" s="21"/>
      <c r="KMP20" s="21"/>
      <c r="KMQ20" s="21"/>
      <c r="KMR20" s="21"/>
      <c r="KMS20" s="21"/>
      <c r="KMT20" s="21"/>
      <c r="KMU20" s="21"/>
      <c r="KMV20" s="21"/>
      <c r="KMW20" s="21"/>
      <c r="KMX20" s="21"/>
      <c r="KMY20" s="21"/>
      <c r="KMZ20" s="21"/>
      <c r="KNA20" s="21"/>
      <c r="KNB20" s="21"/>
      <c r="KNC20" s="21"/>
      <c r="KND20" s="21"/>
      <c r="KNE20" s="21"/>
      <c r="KNF20" s="21"/>
      <c r="KNG20" s="21"/>
      <c r="KNH20" s="21"/>
      <c r="KNI20" s="21"/>
      <c r="KNJ20" s="21"/>
      <c r="KNK20" s="21"/>
      <c r="KNL20" s="21"/>
      <c r="KNM20" s="21"/>
      <c r="KNN20" s="21"/>
      <c r="KNO20" s="21"/>
      <c r="KNP20" s="21"/>
      <c r="KNQ20" s="21"/>
      <c r="KNR20" s="21"/>
      <c r="KNS20" s="21"/>
      <c r="KNT20" s="21"/>
      <c r="KNU20" s="21"/>
      <c r="KNV20" s="21"/>
      <c r="KNW20" s="21"/>
      <c r="KNX20" s="21"/>
      <c r="KNY20" s="21"/>
      <c r="KNZ20" s="21"/>
      <c r="KOA20" s="21"/>
      <c r="KOB20" s="21"/>
      <c r="KOC20" s="21"/>
      <c r="KOD20" s="21"/>
      <c r="KOE20" s="21"/>
      <c r="KOF20" s="21"/>
      <c r="KOG20" s="21"/>
      <c r="KOH20" s="21"/>
      <c r="KOI20" s="21"/>
      <c r="KOJ20" s="21"/>
      <c r="KOK20" s="21"/>
      <c r="KOL20" s="21"/>
      <c r="KOM20" s="21"/>
      <c r="KON20" s="21"/>
      <c r="KOO20" s="21"/>
      <c r="KOP20" s="21"/>
      <c r="KOQ20" s="21"/>
      <c r="KOR20" s="21"/>
      <c r="KOS20" s="21"/>
      <c r="KOT20" s="21"/>
      <c r="KOU20" s="21"/>
      <c r="KOV20" s="21"/>
      <c r="KOW20" s="21"/>
      <c r="KOX20" s="21"/>
      <c r="KOY20" s="21"/>
      <c r="KOZ20" s="21"/>
      <c r="KPA20" s="21"/>
      <c r="KPB20" s="21"/>
      <c r="KPC20" s="21"/>
      <c r="KPD20" s="21"/>
      <c r="KPE20" s="21"/>
      <c r="KPF20" s="21"/>
      <c r="KPG20" s="21"/>
      <c r="KPH20" s="21"/>
      <c r="KPI20" s="21"/>
      <c r="KPJ20" s="21"/>
      <c r="KPK20" s="21"/>
      <c r="KPL20" s="21"/>
      <c r="KPM20" s="21"/>
      <c r="KPN20" s="21"/>
      <c r="KPO20" s="21"/>
      <c r="KPP20" s="21"/>
      <c r="KPQ20" s="21"/>
      <c r="KPR20" s="21"/>
      <c r="KPS20" s="21"/>
      <c r="KPT20" s="21"/>
      <c r="KPU20" s="21"/>
      <c r="KPV20" s="21"/>
      <c r="KPW20" s="21"/>
      <c r="KPX20" s="21"/>
      <c r="KPY20" s="21"/>
      <c r="KPZ20" s="21"/>
      <c r="KQA20" s="21"/>
      <c r="KQB20" s="21"/>
      <c r="KQC20" s="21"/>
      <c r="KQD20" s="21"/>
      <c r="KQE20" s="21"/>
      <c r="KQF20" s="21"/>
      <c r="KQG20" s="21"/>
      <c r="KQH20" s="21"/>
      <c r="KQI20" s="21"/>
      <c r="KQJ20" s="21"/>
      <c r="KQK20" s="21"/>
      <c r="KQL20" s="21"/>
      <c r="KQM20" s="21"/>
      <c r="KQN20" s="21"/>
      <c r="KQO20" s="21"/>
      <c r="KQP20" s="21"/>
      <c r="KQQ20" s="21"/>
      <c r="KQR20" s="21"/>
      <c r="KQS20" s="21"/>
      <c r="KQT20" s="21"/>
      <c r="KQU20" s="21"/>
      <c r="KQV20" s="21"/>
      <c r="KQW20" s="21"/>
      <c r="KQX20" s="21"/>
      <c r="KQY20" s="21"/>
      <c r="KQZ20" s="21"/>
      <c r="KRA20" s="21"/>
      <c r="KRB20" s="21"/>
      <c r="KRC20" s="21"/>
      <c r="KRD20" s="21"/>
      <c r="KRE20" s="21"/>
      <c r="KRF20" s="21"/>
      <c r="KRG20" s="21"/>
      <c r="KRH20" s="21"/>
      <c r="KRI20" s="21"/>
      <c r="KRJ20" s="21"/>
      <c r="KRK20" s="21"/>
      <c r="KRL20" s="21"/>
      <c r="KRM20" s="21"/>
      <c r="KRN20" s="21"/>
      <c r="KRO20" s="21"/>
      <c r="KRP20" s="21"/>
      <c r="KRQ20" s="21"/>
      <c r="KRR20" s="21"/>
      <c r="KRS20" s="21"/>
      <c r="KRT20" s="21"/>
      <c r="KRU20" s="21"/>
      <c r="KRV20" s="21"/>
      <c r="KRW20" s="21"/>
      <c r="KRX20" s="21"/>
      <c r="KRY20" s="21"/>
      <c r="KRZ20" s="21"/>
      <c r="KSA20" s="21"/>
      <c r="KSB20" s="21"/>
      <c r="KSC20" s="21"/>
      <c r="KSD20" s="21"/>
      <c r="KSE20" s="21"/>
      <c r="KSF20" s="21"/>
      <c r="KSG20" s="21"/>
      <c r="KSH20" s="21"/>
      <c r="KSI20" s="21"/>
      <c r="KSJ20" s="21"/>
      <c r="KSK20" s="21"/>
      <c r="KSL20" s="21"/>
      <c r="KSM20" s="21"/>
      <c r="KSN20" s="21"/>
      <c r="KSO20" s="21"/>
      <c r="KSP20" s="21"/>
      <c r="KSQ20" s="21"/>
      <c r="KSR20" s="21"/>
      <c r="KSS20" s="21"/>
      <c r="KST20" s="21"/>
      <c r="KSU20" s="21"/>
      <c r="KSV20" s="21"/>
      <c r="KSW20" s="21"/>
      <c r="KSX20" s="21"/>
      <c r="KSY20" s="21"/>
      <c r="KSZ20" s="21"/>
      <c r="KTA20" s="21"/>
      <c r="KTB20" s="21"/>
      <c r="KTC20" s="21"/>
      <c r="KTD20" s="21"/>
      <c r="KTE20" s="21"/>
      <c r="KTF20" s="21"/>
      <c r="KTG20" s="21"/>
      <c r="KTH20" s="21"/>
      <c r="KTI20" s="21"/>
      <c r="KTJ20" s="21"/>
      <c r="KTK20" s="21"/>
      <c r="KTL20" s="21"/>
      <c r="KTM20" s="21"/>
      <c r="KTN20" s="21"/>
      <c r="KTO20" s="21"/>
      <c r="KTP20" s="21"/>
      <c r="KTQ20" s="21"/>
      <c r="KTR20" s="21"/>
      <c r="KTS20" s="21"/>
      <c r="KTT20" s="21"/>
      <c r="KTU20" s="21"/>
      <c r="KTV20" s="21"/>
      <c r="KTW20" s="21"/>
      <c r="KTX20" s="21"/>
      <c r="KTY20" s="21"/>
      <c r="KTZ20" s="21"/>
      <c r="KUA20" s="21"/>
      <c r="KUB20" s="21"/>
      <c r="KUC20" s="21"/>
      <c r="KUD20" s="21"/>
      <c r="KUE20" s="21"/>
      <c r="KUF20" s="21"/>
      <c r="KUG20" s="21"/>
      <c r="KUH20" s="21"/>
      <c r="KUI20" s="21"/>
      <c r="KUJ20" s="21"/>
      <c r="KUK20" s="21"/>
      <c r="KUL20" s="21"/>
      <c r="KUM20" s="21"/>
      <c r="KUN20" s="21"/>
      <c r="KUO20" s="21"/>
      <c r="KUP20" s="21"/>
      <c r="KUQ20" s="21"/>
      <c r="KUR20" s="21"/>
      <c r="KUS20" s="21"/>
      <c r="KUT20" s="21"/>
      <c r="KUU20" s="21"/>
      <c r="KUV20" s="21"/>
      <c r="KUW20" s="21"/>
      <c r="KUX20" s="21"/>
      <c r="KUY20" s="21"/>
      <c r="KUZ20" s="21"/>
      <c r="KVA20" s="21"/>
      <c r="KVB20" s="21"/>
      <c r="KVC20" s="21"/>
      <c r="KVD20" s="21"/>
      <c r="KVE20" s="21"/>
      <c r="KVF20" s="21"/>
      <c r="KVG20" s="21"/>
      <c r="KVH20" s="21"/>
      <c r="KVI20" s="21"/>
      <c r="KVJ20" s="21"/>
      <c r="KVK20" s="21"/>
      <c r="KVL20" s="21"/>
      <c r="KVM20" s="21"/>
      <c r="KVN20" s="21"/>
      <c r="KVO20" s="21"/>
      <c r="KVP20" s="21"/>
      <c r="KVQ20" s="21"/>
      <c r="KVR20" s="21"/>
      <c r="KVS20" s="21"/>
      <c r="KVT20" s="21"/>
      <c r="KVU20" s="21"/>
      <c r="KVV20" s="21"/>
      <c r="KVW20" s="21"/>
      <c r="KVX20" s="21"/>
      <c r="KVY20" s="21"/>
      <c r="KVZ20" s="21"/>
      <c r="KWA20" s="21"/>
      <c r="KWB20" s="21"/>
      <c r="KWC20" s="21"/>
      <c r="KWD20" s="21"/>
      <c r="KWE20" s="21"/>
      <c r="KWF20" s="21"/>
      <c r="KWG20" s="21"/>
      <c r="KWH20" s="21"/>
      <c r="KWI20" s="21"/>
      <c r="KWJ20" s="21"/>
      <c r="KWK20" s="21"/>
      <c r="KWL20" s="21"/>
      <c r="KWM20" s="21"/>
      <c r="KWN20" s="21"/>
      <c r="KWO20" s="21"/>
      <c r="KWP20" s="21"/>
      <c r="KWQ20" s="21"/>
      <c r="KWR20" s="21"/>
      <c r="KWS20" s="21"/>
      <c r="KWT20" s="21"/>
      <c r="KWU20" s="21"/>
      <c r="KWV20" s="21"/>
      <c r="KWW20" s="21"/>
      <c r="KWX20" s="21"/>
      <c r="KWY20" s="21"/>
      <c r="KWZ20" s="21"/>
      <c r="KXA20" s="21"/>
      <c r="KXB20" s="21"/>
      <c r="KXC20" s="21"/>
      <c r="KXD20" s="21"/>
      <c r="KXE20" s="21"/>
      <c r="KXF20" s="21"/>
      <c r="KXG20" s="21"/>
      <c r="KXH20" s="21"/>
      <c r="KXI20" s="21"/>
      <c r="KXJ20" s="21"/>
      <c r="KXK20" s="21"/>
      <c r="KXL20" s="21"/>
      <c r="KXM20" s="21"/>
      <c r="KXN20" s="21"/>
      <c r="KXO20" s="21"/>
      <c r="KXP20" s="21"/>
      <c r="KXQ20" s="21"/>
      <c r="KXR20" s="21"/>
      <c r="KXS20" s="21"/>
      <c r="KXT20" s="21"/>
      <c r="KXU20" s="21"/>
      <c r="KXV20" s="21"/>
      <c r="KXW20" s="21"/>
      <c r="KXX20" s="21"/>
      <c r="KXY20" s="21"/>
      <c r="KXZ20" s="21"/>
      <c r="KYA20" s="21"/>
      <c r="KYB20" s="21"/>
      <c r="KYC20" s="21"/>
      <c r="KYD20" s="21"/>
      <c r="KYE20" s="21"/>
      <c r="KYF20" s="21"/>
      <c r="KYG20" s="21"/>
      <c r="KYH20" s="21"/>
      <c r="KYI20" s="21"/>
      <c r="KYJ20" s="21"/>
      <c r="KYK20" s="21"/>
      <c r="KYL20" s="21"/>
      <c r="KYM20" s="21"/>
      <c r="KYN20" s="21"/>
      <c r="KYO20" s="21"/>
      <c r="KYP20" s="21"/>
      <c r="KYQ20" s="21"/>
      <c r="KYR20" s="21"/>
      <c r="KYS20" s="21"/>
      <c r="KYT20" s="21"/>
      <c r="KYU20" s="21"/>
      <c r="KYV20" s="21"/>
      <c r="KYW20" s="21"/>
      <c r="KYX20" s="21"/>
      <c r="KYY20" s="21"/>
      <c r="KYZ20" s="21"/>
      <c r="KZA20" s="21"/>
      <c r="KZB20" s="21"/>
      <c r="KZC20" s="21"/>
      <c r="KZD20" s="21"/>
      <c r="KZE20" s="21"/>
      <c r="KZF20" s="21"/>
      <c r="KZG20" s="21"/>
      <c r="KZH20" s="21"/>
      <c r="KZI20" s="21"/>
      <c r="KZJ20" s="21"/>
      <c r="KZK20" s="21"/>
      <c r="KZL20" s="21"/>
      <c r="KZM20" s="21"/>
      <c r="KZN20" s="21"/>
      <c r="KZO20" s="21"/>
      <c r="KZP20" s="21"/>
      <c r="KZQ20" s="21"/>
      <c r="KZR20" s="21"/>
      <c r="KZS20" s="21"/>
      <c r="KZT20" s="21"/>
      <c r="KZU20" s="21"/>
      <c r="KZV20" s="21"/>
      <c r="KZW20" s="21"/>
      <c r="KZX20" s="21"/>
      <c r="KZY20" s="21"/>
      <c r="KZZ20" s="21"/>
      <c r="LAA20" s="21"/>
      <c r="LAB20" s="21"/>
      <c r="LAC20" s="21"/>
      <c r="LAD20" s="21"/>
      <c r="LAE20" s="21"/>
      <c r="LAF20" s="21"/>
      <c r="LAG20" s="21"/>
      <c r="LAH20" s="21"/>
      <c r="LAI20" s="21"/>
      <c r="LAJ20" s="21"/>
      <c r="LAK20" s="21"/>
      <c r="LAL20" s="21"/>
      <c r="LAM20" s="21"/>
      <c r="LAN20" s="21"/>
      <c r="LAO20" s="21"/>
      <c r="LAP20" s="21"/>
      <c r="LAQ20" s="21"/>
      <c r="LAR20" s="21"/>
      <c r="LAS20" s="21"/>
      <c r="LAT20" s="21"/>
      <c r="LAU20" s="21"/>
      <c r="LAV20" s="21"/>
      <c r="LAW20" s="21"/>
      <c r="LAX20" s="21"/>
      <c r="LAY20" s="21"/>
      <c r="LAZ20" s="21"/>
      <c r="LBA20" s="21"/>
      <c r="LBB20" s="21"/>
      <c r="LBC20" s="21"/>
      <c r="LBD20" s="21"/>
      <c r="LBE20" s="21"/>
      <c r="LBF20" s="21"/>
      <c r="LBG20" s="21"/>
      <c r="LBH20" s="21"/>
      <c r="LBI20" s="21"/>
      <c r="LBJ20" s="21"/>
      <c r="LBK20" s="21"/>
      <c r="LBL20" s="21"/>
      <c r="LBM20" s="21"/>
      <c r="LBN20" s="21"/>
      <c r="LBO20" s="21"/>
      <c r="LBP20" s="21"/>
      <c r="LBQ20" s="21"/>
      <c r="LBR20" s="21"/>
      <c r="LBS20" s="21"/>
      <c r="LBT20" s="21"/>
      <c r="LBU20" s="21"/>
      <c r="LBV20" s="21"/>
      <c r="LBW20" s="21"/>
      <c r="LBX20" s="21"/>
      <c r="LBY20" s="21"/>
      <c r="LBZ20" s="21"/>
      <c r="LCA20" s="21"/>
      <c r="LCB20" s="21"/>
      <c r="LCC20" s="21"/>
      <c r="LCD20" s="21"/>
      <c r="LCE20" s="21"/>
      <c r="LCF20" s="21"/>
      <c r="LCG20" s="21"/>
      <c r="LCH20" s="21"/>
      <c r="LCI20" s="21"/>
      <c r="LCJ20" s="21"/>
      <c r="LCK20" s="21"/>
      <c r="LCL20" s="21"/>
      <c r="LCM20" s="21"/>
      <c r="LCN20" s="21"/>
      <c r="LCO20" s="21"/>
      <c r="LCP20" s="21"/>
      <c r="LCQ20" s="21"/>
      <c r="LCR20" s="21"/>
      <c r="LCS20" s="21"/>
      <c r="LCT20" s="21"/>
      <c r="LCU20" s="21"/>
      <c r="LCV20" s="21"/>
      <c r="LCW20" s="21"/>
      <c r="LCX20" s="21"/>
      <c r="LCY20" s="21"/>
      <c r="LCZ20" s="21"/>
      <c r="LDA20" s="21"/>
      <c r="LDB20" s="21"/>
      <c r="LDC20" s="21"/>
      <c r="LDD20" s="21"/>
      <c r="LDE20" s="21"/>
      <c r="LDF20" s="21"/>
      <c r="LDG20" s="21"/>
      <c r="LDH20" s="21"/>
      <c r="LDI20" s="21"/>
      <c r="LDJ20" s="21"/>
      <c r="LDK20" s="21"/>
      <c r="LDL20" s="21"/>
      <c r="LDM20" s="21"/>
      <c r="LDN20" s="21"/>
      <c r="LDO20" s="21"/>
      <c r="LDP20" s="21"/>
      <c r="LDQ20" s="21"/>
      <c r="LDR20" s="21"/>
      <c r="LDS20" s="21"/>
      <c r="LDT20" s="21"/>
      <c r="LDU20" s="21"/>
      <c r="LDV20" s="21"/>
      <c r="LDW20" s="21"/>
      <c r="LDX20" s="21"/>
      <c r="LDY20" s="21"/>
      <c r="LDZ20" s="21"/>
      <c r="LEA20" s="21"/>
      <c r="LEB20" s="21"/>
      <c r="LEC20" s="21"/>
      <c r="LED20" s="21"/>
      <c r="LEE20" s="21"/>
      <c r="LEF20" s="21"/>
      <c r="LEG20" s="21"/>
      <c r="LEH20" s="21"/>
      <c r="LEI20" s="21"/>
      <c r="LEJ20" s="21"/>
      <c r="LEK20" s="21"/>
      <c r="LEL20" s="21"/>
      <c r="LEM20" s="21"/>
      <c r="LEN20" s="21"/>
      <c r="LEO20" s="21"/>
      <c r="LEP20" s="21"/>
      <c r="LEQ20" s="21"/>
      <c r="LER20" s="21"/>
      <c r="LES20" s="21"/>
      <c r="LET20" s="21"/>
      <c r="LEU20" s="21"/>
      <c r="LEV20" s="21"/>
      <c r="LEW20" s="21"/>
      <c r="LEX20" s="21"/>
      <c r="LEY20" s="21"/>
      <c r="LEZ20" s="21"/>
      <c r="LFA20" s="21"/>
      <c r="LFB20" s="21"/>
      <c r="LFC20" s="21"/>
      <c r="LFD20" s="21"/>
      <c r="LFE20" s="21"/>
      <c r="LFF20" s="21"/>
      <c r="LFG20" s="21"/>
      <c r="LFH20" s="21"/>
      <c r="LFI20" s="21"/>
      <c r="LFJ20" s="21"/>
      <c r="LFK20" s="21"/>
      <c r="LFL20" s="21"/>
      <c r="LFM20" s="21"/>
      <c r="LFN20" s="21"/>
      <c r="LFO20" s="21"/>
      <c r="LFP20" s="21"/>
      <c r="LFQ20" s="21"/>
      <c r="LFR20" s="21"/>
      <c r="LFS20" s="21"/>
      <c r="LFT20" s="21"/>
      <c r="LFU20" s="21"/>
      <c r="LFV20" s="21"/>
      <c r="LFW20" s="21"/>
      <c r="LFX20" s="21"/>
      <c r="LFY20" s="21"/>
      <c r="LFZ20" s="21"/>
      <c r="LGA20" s="21"/>
      <c r="LGB20" s="21"/>
      <c r="LGC20" s="21"/>
      <c r="LGD20" s="21"/>
      <c r="LGE20" s="21"/>
      <c r="LGF20" s="21"/>
      <c r="LGG20" s="21"/>
      <c r="LGH20" s="21"/>
      <c r="LGI20" s="21"/>
      <c r="LGJ20" s="21"/>
      <c r="LGK20" s="21"/>
      <c r="LGL20" s="21"/>
      <c r="LGM20" s="21"/>
      <c r="LGN20" s="21"/>
      <c r="LGO20" s="21"/>
      <c r="LGP20" s="21"/>
      <c r="LGQ20" s="21"/>
      <c r="LGR20" s="21"/>
      <c r="LGS20" s="21"/>
      <c r="LGT20" s="21"/>
      <c r="LGU20" s="21"/>
      <c r="LGV20" s="21"/>
      <c r="LGW20" s="21"/>
      <c r="LGX20" s="21"/>
      <c r="LGY20" s="21"/>
      <c r="LGZ20" s="21"/>
      <c r="LHA20" s="21"/>
      <c r="LHB20" s="21"/>
      <c r="LHC20" s="21"/>
      <c r="LHD20" s="21"/>
      <c r="LHE20" s="21"/>
      <c r="LHF20" s="21"/>
      <c r="LHG20" s="21"/>
      <c r="LHH20" s="21"/>
      <c r="LHI20" s="21"/>
      <c r="LHJ20" s="21"/>
      <c r="LHK20" s="21"/>
      <c r="LHL20" s="21"/>
      <c r="LHM20" s="21"/>
      <c r="LHN20" s="21"/>
      <c r="LHO20" s="21"/>
      <c r="LHP20" s="21"/>
      <c r="LHQ20" s="21"/>
      <c r="LHR20" s="21"/>
      <c r="LHS20" s="21"/>
      <c r="LHT20" s="21"/>
      <c r="LHU20" s="21"/>
      <c r="LHV20" s="21"/>
      <c r="LHW20" s="21"/>
      <c r="LHX20" s="21"/>
      <c r="LHY20" s="21"/>
      <c r="LHZ20" s="21"/>
      <c r="LIA20" s="21"/>
      <c r="LIB20" s="21"/>
      <c r="LIC20" s="21"/>
      <c r="LID20" s="21"/>
      <c r="LIE20" s="21"/>
      <c r="LIF20" s="21"/>
      <c r="LIG20" s="21"/>
      <c r="LIH20" s="21"/>
      <c r="LII20" s="21"/>
      <c r="LIJ20" s="21"/>
      <c r="LIK20" s="21"/>
      <c r="LIL20" s="21"/>
      <c r="LIM20" s="21"/>
      <c r="LIN20" s="21"/>
      <c r="LIO20" s="21"/>
      <c r="LIP20" s="21"/>
      <c r="LIQ20" s="21"/>
      <c r="LIR20" s="21"/>
      <c r="LIS20" s="21"/>
      <c r="LIT20" s="21"/>
      <c r="LIU20" s="21"/>
      <c r="LIV20" s="21"/>
      <c r="LIW20" s="21"/>
      <c r="LIX20" s="21"/>
      <c r="LIY20" s="21"/>
      <c r="LIZ20" s="21"/>
      <c r="LJA20" s="21"/>
      <c r="LJB20" s="21"/>
      <c r="LJC20" s="21"/>
      <c r="LJD20" s="21"/>
      <c r="LJE20" s="21"/>
      <c r="LJF20" s="21"/>
      <c r="LJG20" s="21"/>
      <c r="LJH20" s="21"/>
      <c r="LJI20" s="21"/>
      <c r="LJJ20" s="21"/>
      <c r="LJK20" s="21"/>
      <c r="LJL20" s="21"/>
      <c r="LJM20" s="21"/>
      <c r="LJN20" s="21"/>
      <c r="LJO20" s="21"/>
      <c r="LJP20" s="21"/>
      <c r="LJQ20" s="21"/>
      <c r="LJR20" s="21"/>
      <c r="LJS20" s="21"/>
      <c r="LJT20" s="21"/>
      <c r="LJU20" s="21"/>
      <c r="LJV20" s="21"/>
      <c r="LJW20" s="21"/>
      <c r="LJX20" s="21"/>
      <c r="LJY20" s="21"/>
      <c r="LJZ20" s="21"/>
      <c r="LKA20" s="21"/>
      <c r="LKB20" s="21"/>
      <c r="LKC20" s="21"/>
      <c r="LKD20" s="21"/>
      <c r="LKE20" s="21"/>
      <c r="LKF20" s="21"/>
      <c r="LKG20" s="21"/>
      <c r="LKH20" s="21"/>
      <c r="LKI20" s="21"/>
      <c r="LKJ20" s="21"/>
      <c r="LKK20" s="21"/>
      <c r="LKL20" s="21"/>
      <c r="LKM20" s="21"/>
      <c r="LKN20" s="21"/>
      <c r="LKO20" s="21"/>
      <c r="LKP20" s="21"/>
      <c r="LKQ20" s="21"/>
      <c r="LKR20" s="21"/>
      <c r="LKS20" s="21"/>
      <c r="LKT20" s="21"/>
      <c r="LKU20" s="21"/>
      <c r="LKV20" s="21"/>
      <c r="LKW20" s="21"/>
      <c r="LKX20" s="21"/>
      <c r="LKY20" s="21"/>
      <c r="LKZ20" s="21"/>
      <c r="LLA20" s="21"/>
      <c r="LLB20" s="21"/>
      <c r="LLC20" s="21"/>
      <c r="LLD20" s="21"/>
      <c r="LLE20" s="21"/>
      <c r="LLF20" s="21"/>
      <c r="LLG20" s="21"/>
      <c r="LLH20" s="21"/>
      <c r="LLI20" s="21"/>
      <c r="LLJ20" s="21"/>
      <c r="LLK20" s="21"/>
      <c r="LLL20" s="21"/>
      <c r="LLM20" s="21"/>
      <c r="LLN20" s="21"/>
      <c r="LLO20" s="21"/>
      <c r="LLP20" s="21"/>
      <c r="LLQ20" s="21"/>
      <c r="LLR20" s="21"/>
      <c r="LLS20" s="21"/>
      <c r="LLT20" s="21"/>
      <c r="LLU20" s="21"/>
      <c r="LLV20" s="21"/>
      <c r="LLW20" s="21"/>
      <c r="LLX20" s="21"/>
      <c r="LLY20" s="21"/>
      <c r="LLZ20" s="21"/>
      <c r="LMA20" s="21"/>
      <c r="LMB20" s="21"/>
      <c r="LMC20" s="21"/>
      <c r="LMD20" s="21"/>
      <c r="LME20" s="21"/>
      <c r="LMF20" s="21"/>
      <c r="LMG20" s="21"/>
      <c r="LMH20" s="21"/>
      <c r="LMI20" s="21"/>
      <c r="LMJ20" s="21"/>
      <c r="LMK20" s="21"/>
      <c r="LML20" s="21"/>
      <c r="LMM20" s="21"/>
      <c r="LMN20" s="21"/>
      <c r="LMO20" s="21"/>
      <c r="LMP20" s="21"/>
      <c r="LMQ20" s="21"/>
      <c r="LMR20" s="21"/>
      <c r="LMS20" s="21"/>
      <c r="LMT20" s="21"/>
      <c r="LMU20" s="21"/>
      <c r="LMV20" s="21"/>
      <c r="LMW20" s="21"/>
      <c r="LMX20" s="21"/>
      <c r="LMY20" s="21"/>
      <c r="LMZ20" s="21"/>
      <c r="LNA20" s="21"/>
      <c r="LNB20" s="21"/>
      <c r="LNC20" s="21"/>
      <c r="LND20" s="21"/>
      <c r="LNE20" s="21"/>
      <c r="LNF20" s="21"/>
      <c r="LNG20" s="21"/>
      <c r="LNH20" s="21"/>
      <c r="LNI20" s="21"/>
      <c r="LNJ20" s="21"/>
      <c r="LNK20" s="21"/>
      <c r="LNL20" s="21"/>
      <c r="LNM20" s="21"/>
      <c r="LNN20" s="21"/>
      <c r="LNO20" s="21"/>
      <c r="LNP20" s="21"/>
      <c r="LNQ20" s="21"/>
      <c r="LNR20" s="21"/>
      <c r="LNS20" s="21"/>
      <c r="LNT20" s="21"/>
      <c r="LNU20" s="21"/>
      <c r="LNV20" s="21"/>
      <c r="LNW20" s="21"/>
      <c r="LNX20" s="21"/>
      <c r="LNY20" s="21"/>
      <c r="LNZ20" s="21"/>
      <c r="LOA20" s="21"/>
      <c r="LOB20" s="21"/>
      <c r="LOC20" s="21"/>
      <c r="LOD20" s="21"/>
      <c r="LOE20" s="21"/>
      <c r="LOF20" s="21"/>
      <c r="LOG20" s="21"/>
      <c r="LOH20" s="21"/>
      <c r="LOI20" s="21"/>
      <c r="LOJ20" s="21"/>
      <c r="LOK20" s="21"/>
      <c r="LOL20" s="21"/>
      <c r="LOM20" s="21"/>
      <c r="LON20" s="21"/>
      <c r="LOO20" s="21"/>
      <c r="LOP20" s="21"/>
      <c r="LOQ20" s="21"/>
      <c r="LOR20" s="21"/>
      <c r="LOS20" s="21"/>
      <c r="LOT20" s="21"/>
      <c r="LOU20" s="21"/>
      <c r="LOV20" s="21"/>
      <c r="LOW20" s="21"/>
      <c r="LOX20" s="21"/>
      <c r="LOY20" s="21"/>
      <c r="LOZ20" s="21"/>
      <c r="LPA20" s="21"/>
      <c r="LPB20" s="21"/>
      <c r="LPC20" s="21"/>
      <c r="LPD20" s="21"/>
      <c r="LPE20" s="21"/>
      <c r="LPF20" s="21"/>
      <c r="LPG20" s="21"/>
      <c r="LPH20" s="21"/>
      <c r="LPI20" s="21"/>
      <c r="LPJ20" s="21"/>
      <c r="LPK20" s="21"/>
      <c r="LPL20" s="21"/>
      <c r="LPM20" s="21"/>
      <c r="LPN20" s="21"/>
      <c r="LPO20" s="21"/>
      <c r="LPP20" s="21"/>
      <c r="LPQ20" s="21"/>
      <c r="LPR20" s="21"/>
      <c r="LPS20" s="21"/>
      <c r="LPT20" s="21"/>
      <c r="LPU20" s="21"/>
      <c r="LPV20" s="21"/>
      <c r="LPW20" s="21"/>
      <c r="LPX20" s="21"/>
      <c r="LPY20" s="21"/>
      <c r="LPZ20" s="21"/>
      <c r="LQA20" s="21"/>
      <c r="LQB20" s="21"/>
      <c r="LQC20" s="21"/>
      <c r="LQD20" s="21"/>
      <c r="LQE20" s="21"/>
      <c r="LQF20" s="21"/>
      <c r="LQG20" s="21"/>
      <c r="LQH20" s="21"/>
      <c r="LQI20" s="21"/>
      <c r="LQJ20" s="21"/>
      <c r="LQK20" s="21"/>
      <c r="LQL20" s="21"/>
      <c r="LQM20" s="21"/>
      <c r="LQN20" s="21"/>
      <c r="LQO20" s="21"/>
      <c r="LQP20" s="21"/>
      <c r="LQQ20" s="21"/>
      <c r="LQR20" s="21"/>
      <c r="LQS20" s="21"/>
      <c r="LQT20" s="21"/>
      <c r="LQU20" s="21"/>
      <c r="LQV20" s="21"/>
      <c r="LQW20" s="21"/>
      <c r="LQX20" s="21"/>
      <c r="LQY20" s="21"/>
      <c r="LQZ20" s="21"/>
      <c r="LRA20" s="21"/>
      <c r="LRB20" s="21"/>
      <c r="LRC20" s="21"/>
      <c r="LRD20" s="21"/>
      <c r="LRE20" s="21"/>
      <c r="LRF20" s="21"/>
      <c r="LRG20" s="21"/>
      <c r="LRH20" s="21"/>
      <c r="LRI20" s="21"/>
      <c r="LRJ20" s="21"/>
      <c r="LRK20" s="21"/>
      <c r="LRL20" s="21"/>
      <c r="LRM20" s="21"/>
      <c r="LRN20" s="21"/>
      <c r="LRO20" s="21"/>
      <c r="LRP20" s="21"/>
      <c r="LRQ20" s="21"/>
      <c r="LRR20" s="21"/>
      <c r="LRS20" s="21"/>
      <c r="LRT20" s="21"/>
      <c r="LRU20" s="21"/>
      <c r="LRV20" s="21"/>
      <c r="LRW20" s="21"/>
      <c r="LRX20" s="21"/>
      <c r="LRY20" s="21"/>
      <c r="LRZ20" s="21"/>
      <c r="LSA20" s="21"/>
      <c r="LSB20" s="21"/>
      <c r="LSC20" s="21"/>
      <c r="LSD20" s="21"/>
      <c r="LSE20" s="21"/>
      <c r="LSF20" s="21"/>
      <c r="LSG20" s="21"/>
      <c r="LSH20" s="21"/>
      <c r="LSI20" s="21"/>
      <c r="LSJ20" s="21"/>
      <c r="LSK20" s="21"/>
      <c r="LSL20" s="21"/>
      <c r="LSM20" s="21"/>
      <c r="LSN20" s="21"/>
      <c r="LSO20" s="21"/>
      <c r="LSP20" s="21"/>
      <c r="LSQ20" s="21"/>
      <c r="LSR20" s="21"/>
      <c r="LSS20" s="21"/>
      <c r="LST20" s="21"/>
      <c r="LSU20" s="21"/>
      <c r="LSV20" s="21"/>
      <c r="LSW20" s="21"/>
      <c r="LSX20" s="21"/>
      <c r="LSY20" s="21"/>
      <c r="LSZ20" s="21"/>
      <c r="LTA20" s="21"/>
      <c r="LTB20" s="21"/>
      <c r="LTC20" s="21"/>
      <c r="LTD20" s="21"/>
      <c r="LTE20" s="21"/>
      <c r="LTF20" s="21"/>
      <c r="LTG20" s="21"/>
      <c r="LTH20" s="21"/>
      <c r="LTI20" s="21"/>
      <c r="LTJ20" s="21"/>
      <c r="LTK20" s="21"/>
      <c r="LTL20" s="21"/>
      <c r="LTM20" s="21"/>
      <c r="LTN20" s="21"/>
      <c r="LTO20" s="21"/>
      <c r="LTP20" s="21"/>
      <c r="LTQ20" s="21"/>
      <c r="LTR20" s="21"/>
      <c r="LTS20" s="21"/>
      <c r="LTT20" s="21"/>
      <c r="LTU20" s="21"/>
      <c r="LTV20" s="21"/>
      <c r="LTW20" s="21"/>
      <c r="LTX20" s="21"/>
      <c r="LTY20" s="21"/>
      <c r="LTZ20" s="21"/>
      <c r="LUA20" s="21"/>
      <c r="LUB20" s="21"/>
      <c r="LUC20" s="21"/>
      <c r="LUD20" s="21"/>
      <c r="LUE20" s="21"/>
      <c r="LUF20" s="21"/>
      <c r="LUG20" s="21"/>
      <c r="LUH20" s="21"/>
      <c r="LUI20" s="21"/>
      <c r="LUJ20" s="21"/>
      <c r="LUK20" s="21"/>
      <c r="LUL20" s="21"/>
      <c r="LUM20" s="21"/>
      <c r="LUN20" s="21"/>
      <c r="LUO20" s="21"/>
      <c r="LUP20" s="21"/>
      <c r="LUQ20" s="21"/>
      <c r="LUR20" s="21"/>
      <c r="LUS20" s="21"/>
      <c r="LUT20" s="21"/>
      <c r="LUU20" s="21"/>
      <c r="LUV20" s="21"/>
      <c r="LUW20" s="21"/>
      <c r="LUX20" s="21"/>
      <c r="LUY20" s="21"/>
      <c r="LUZ20" s="21"/>
      <c r="LVA20" s="21"/>
      <c r="LVB20" s="21"/>
      <c r="LVC20" s="21"/>
      <c r="LVD20" s="21"/>
      <c r="LVE20" s="21"/>
      <c r="LVF20" s="21"/>
      <c r="LVG20" s="21"/>
      <c r="LVH20" s="21"/>
      <c r="LVI20" s="21"/>
      <c r="LVJ20" s="21"/>
      <c r="LVK20" s="21"/>
      <c r="LVL20" s="21"/>
      <c r="LVM20" s="21"/>
      <c r="LVN20" s="21"/>
      <c r="LVO20" s="21"/>
      <c r="LVP20" s="21"/>
      <c r="LVQ20" s="21"/>
      <c r="LVR20" s="21"/>
      <c r="LVS20" s="21"/>
      <c r="LVT20" s="21"/>
      <c r="LVU20" s="21"/>
      <c r="LVV20" s="21"/>
      <c r="LVW20" s="21"/>
      <c r="LVX20" s="21"/>
      <c r="LVY20" s="21"/>
      <c r="LVZ20" s="21"/>
      <c r="LWA20" s="21"/>
      <c r="LWB20" s="21"/>
      <c r="LWC20" s="21"/>
      <c r="LWD20" s="21"/>
      <c r="LWE20" s="21"/>
      <c r="LWF20" s="21"/>
      <c r="LWG20" s="21"/>
      <c r="LWH20" s="21"/>
      <c r="LWI20" s="21"/>
      <c r="LWJ20" s="21"/>
      <c r="LWK20" s="21"/>
      <c r="LWL20" s="21"/>
      <c r="LWM20" s="21"/>
      <c r="LWN20" s="21"/>
      <c r="LWO20" s="21"/>
      <c r="LWP20" s="21"/>
      <c r="LWQ20" s="21"/>
      <c r="LWR20" s="21"/>
      <c r="LWS20" s="21"/>
      <c r="LWT20" s="21"/>
      <c r="LWU20" s="21"/>
      <c r="LWV20" s="21"/>
      <c r="LWW20" s="21"/>
      <c r="LWX20" s="21"/>
      <c r="LWY20" s="21"/>
      <c r="LWZ20" s="21"/>
      <c r="LXA20" s="21"/>
      <c r="LXB20" s="21"/>
      <c r="LXC20" s="21"/>
      <c r="LXD20" s="21"/>
      <c r="LXE20" s="21"/>
      <c r="LXF20" s="21"/>
      <c r="LXG20" s="21"/>
      <c r="LXH20" s="21"/>
      <c r="LXI20" s="21"/>
      <c r="LXJ20" s="21"/>
      <c r="LXK20" s="21"/>
      <c r="LXL20" s="21"/>
      <c r="LXM20" s="21"/>
      <c r="LXN20" s="21"/>
      <c r="LXO20" s="21"/>
      <c r="LXP20" s="21"/>
      <c r="LXQ20" s="21"/>
      <c r="LXR20" s="21"/>
      <c r="LXS20" s="21"/>
      <c r="LXT20" s="21"/>
      <c r="LXU20" s="21"/>
      <c r="LXV20" s="21"/>
      <c r="LXW20" s="21"/>
      <c r="LXX20" s="21"/>
      <c r="LXY20" s="21"/>
      <c r="LXZ20" s="21"/>
      <c r="LYA20" s="21"/>
      <c r="LYB20" s="21"/>
      <c r="LYC20" s="21"/>
      <c r="LYD20" s="21"/>
      <c r="LYE20" s="21"/>
      <c r="LYF20" s="21"/>
      <c r="LYG20" s="21"/>
      <c r="LYH20" s="21"/>
      <c r="LYI20" s="21"/>
      <c r="LYJ20" s="21"/>
      <c r="LYK20" s="21"/>
      <c r="LYL20" s="21"/>
      <c r="LYM20" s="21"/>
      <c r="LYN20" s="21"/>
      <c r="LYO20" s="21"/>
      <c r="LYP20" s="21"/>
      <c r="LYQ20" s="21"/>
      <c r="LYR20" s="21"/>
      <c r="LYS20" s="21"/>
      <c r="LYT20" s="21"/>
      <c r="LYU20" s="21"/>
      <c r="LYV20" s="21"/>
      <c r="LYW20" s="21"/>
      <c r="LYX20" s="21"/>
      <c r="LYY20" s="21"/>
      <c r="LYZ20" s="21"/>
      <c r="LZA20" s="21"/>
      <c r="LZB20" s="21"/>
      <c r="LZC20" s="21"/>
      <c r="LZD20" s="21"/>
      <c r="LZE20" s="21"/>
      <c r="LZF20" s="21"/>
      <c r="LZG20" s="21"/>
      <c r="LZH20" s="21"/>
      <c r="LZI20" s="21"/>
      <c r="LZJ20" s="21"/>
      <c r="LZK20" s="21"/>
      <c r="LZL20" s="21"/>
      <c r="LZM20" s="21"/>
      <c r="LZN20" s="21"/>
      <c r="LZO20" s="21"/>
      <c r="LZP20" s="21"/>
      <c r="LZQ20" s="21"/>
      <c r="LZR20" s="21"/>
      <c r="LZS20" s="21"/>
      <c r="LZT20" s="21"/>
      <c r="LZU20" s="21"/>
      <c r="LZV20" s="21"/>
      <c r="LZW20" s="21"/>
      <c r="LZX20" s="21"/>
      <c r="LZY20" s="21"/>
      <c r="LZZ20" s="21"/>
      <c r="MAA20" s="21"/>
      <c r="MAB20" s="21"/>
      <c r="MAC20" s="21"/>
      <c r="MAD20" s="21"/>
      <c r="MAE20" s="21"/>
      <c r="MAF20" s="21"/>
      <c r="MAG20" s="21"/>
      <c r="MAH20" s="21"/>
      <c r="MAI20" s="21"/>
      <c r="MAJ20" s="21"/>
      <c r="MAK20" s="21"/>
      <c r="MAL20" s="21"/>
      <c r="MAM20" s="21"/>
      <c r="MAN20" s="21"/>
      <c r="MAO20" s="21"/>
      <c r="MAP20" s="21"/>
      <c r="MAQ20" s="21"/>
      <c r="MAR20" s="21"/>
      <c r="MAS20" s="21"/>
      <c r="MAT20" s="21"/>
      <c r="MAU20" s="21"/>
      <c r="MAV20" s="21"/>
      <c r="MAW20" s="21"/>
      <c r="MAX20" s="21"/>
      <c r="MAY20" s="21"/>
      <c r="MAZ20" s="21"/>
      <c r="MBA20" s="21"/>
      <c r="MBB20" s="21"/>
      <c r="MBC20" s="21"/>
      <c r="MBD20" s="21"/>
      <c r="MBE20" s="21"/>
      <c r="MBF20" s="21"/>
      <c r="MBG20" s="21"/>
      <c r="MBH20" s="21"/>
      <c r="MBI20" s="21"/>
      <c r="MBJ20" s="21"/>
      <c r="MBK20" s="21"/>
      <c r="MBL20" s="21"/>
      <c r="MBM20" s="21"/>
      <c r="MBN20" s="21"/>
      <c r="MBO20" s="21"/>
      <c r="MBP20" s="21"/>
      <c r="MBQ20" s="21"/>
      <c r="MBR20" s="21"/>
      <c r="MBS20" s="21"/>
      <c r="MBT20" s="21"/>
      <c r="MBU20" s="21"/>
      <c r="MBV20" s="21"/>
      <c r="MBW20" s="21"/>
      <c r="MBX20" s="21"/>
      <c r="MBY20" s="21"/>
      <c r="MBZ20" s="21"/>
      <c r="MCA20" s="21"/>
      <c r="MCB20" s="21"/>
      <c r="MCC20" s="21"/>
      <c r="MCD20" s="21"/>
      <c r="MCE20" s="21"/>
      <c r="MCF20" s="21"/>
      <c r="MCG20" s="21"/>
      <c r="MCH20" s="21"/>
      <c r="MCI20" s="21"/>
      <c r="MCJ20" s="21"/>
      <c r="MCK20" s="21"/>
      <c r="MCL20" s="21"/>
      <c r="MCM20" s="21"/>
      <c r="MCN20" s="21"/>
      <c r="MCO20" s="21"/>
      <c r="MCP20" s="21"/>
      <c r="MCQ20" s="21"/>
      <c r="MCR20" s="21"/>
      <c r="MCS20" s="21"/>
      <c r="MCT20" s="21"/>
      <c r="MCU20" s="21"/>
      <c r="MCV20" s="21"/>
      <c r="MCW20" s="21"/>
      <c r="MCX20" s="21"/>
      <c r="MCY20" s="21"/>
      <c r="MCZ20" s="21"/>
      <c r="MDA20" s="21"/>
      <c r="MDB20" s="21"/>
      <c r="MDC20" s="21"/>
      <c r="MDD20" s="21"/>
      <c r="MDE20" s="21"/>
      <c r="MDF20" s="21"/>
      <c r="MDG20" s="21"/>
      <c r="MDH20" s="21"/>
      <c r="MDI20" s="21"/>
      <c r="MDJ20" s="21"/>
      <c r="MDK20" s="21"/>
      <c r="MDL20" s="21"/>
      <c r="MDM20" s="21"/>
      <c r="MDN20" s="21"/>
      <c r="MDO20" s="21"/>
      <c r="MDP20" s="21"/>
      <c r="MDQ20" s="21"/>
      <c r="MDR20" s="21"/>
      <c r="MDS20" s="21"/>
      <c r="MDT20" s="21"/>
      <c r="MDU20" s="21"/>
      <c r="MDV20" s="21"/>
      <c r="MDW20" s="21"/>
      <c r="MDX20" s="21"/>
      <c r="MDY20" s="21"/>
      <c r="MDZ20" s="21"/>
      <c r="MEA20" s="21"/>
      <c r="MEB20" s="21"/>
      <c r="MEC20" s="21"/>
      <c r="MED20" s="21"/>
      <c r="MEE20" s="21"/>
      <c r="MEF20" s="21"/>
      <c r="MEG20" s="21"/>
      <c r="MEH20" s="21"/>
      <c r="MEI20" s="21"/>
      <c r="MEJ20" s="21"/>
      <c r="MEK20" s="21"/>
      <c r="MEL20" s="21"/>
      <c r="MEM20" s="21"/>
      <c r="MEN20" s="21"/>
      <c r="MEO20" s="21"/>
      <c r="MEP20" s="21"/>
      <c r="MEQ20" s="21"/>
      <c r="MER20" s="21"/>
      <c r="MES20" s="21"/>
      <c r="MET20" s="21"/>
      <c r="MEU20" s="21"/>
      <c r="MEV20" s="21"/>
      <c r="MEW20" s="21"/>
      <c r="MEX20" s="21"/>
      <c r="MEY20" s="21"/>
      <c r="MEZ20" s="21"/>
      <c r="MFA20" s="21"/>
      <c r="MFB20" s="21"/>
      <c r="MFC20" s="21"/>
      <c r="MFD20" s="21"/>
      <c r="MFE20" s="21"/>
      <c r="MFF20" s="21"/>
      <c r="MFG20" s="21"/>
      <c r="MFH20" s="21"/>
      <c r="MFI20" s="21"/>
      <c r="MFJ20" s="21"/>
      <c r="MFK20" s="21"/>
      <c r="MFL20" s="21"/>
      <c r="MFM20" s="21"/>
      <c r="MFN20" s="21"/>
      <c r="MFO20" s="21"/>
      <c r="MFP20" s="21"/>
      <c r="MFQ20" s="21"/>
      <c r="MFR20" s="21"/>
      <c r="MFS20" s="21"/>
      <c r="MFT20" s="21"/>
      <c r="MFU20" s="21"/>
      <c r="MFV20" s="21"/>
      <c r="MFW20" s="21"/>
      <c r="MFX20" s="21"/>
      <c r="MFY20" s="21"/>
      <c r="MFZ20" s="21"/>
      <c r="MGA20" s="21"/>
      <c r="MGB20" s="21"/>
      <c r="MGC20" s="21"/>
      <c r="MGD20" s="21"/>
      <c r="MGE20" s="21"/>
      <c r="MGF20" s="21"/>
      <c r="MGG20" s="21"/>
      <c r="MGH20" s="21"/>
      <c r="MGI20" s="21"/>
      <c r="MGJ20" s="21"/>
      <c r="MGK20" s="21"/>
      <c r="MGL20" s="21"/>
      <c r="MGM20" s="21"/>
      <c r="MGN20" s="21"/>
      <c r="MGO20" s="21"/>
      <c r="MGP20" s="21"/>
      <c r="MGQ20" s="21"/>
      <c r="MGR20" s="21"/>
      <c r="MGS20" s="21"/>
      <c r="MGT20" s="21"/>
      <c r="MGU20" s="21"/>
      <c r="MGV20" s="21"/>
      <c r="MGW20" s="21"/>
      <c r="MGX20" s="21"/>
      <c r="MGY20" s="21"/>
      <c r="MGZ20" s="21"/>
      <c r="MHA20" s="21"/>
      <c r="MHB20" s="21"/>
      <c r="MHC20" s="21"/>
      <c r="MHD20" s="21"/>
      <c r="MHE20" s="21"/>
      <c r="MHF20" s="21"/>
      <c r="MHG20" s="21"/>
      <c r="MHH20" s="21"/>
      <c r="MHI20" s="21"/>
      <c r="MHJ20" s="21"/>
      <c r="MHK20" s="21"/>
      <c r="MHL20" s="21"/>
      <c r="MHM20" s="21"/>
      <c r="MHN20" s="21"/>
      <c r="MHO20" s="21"/>
      <c r="MHP20" s="21"/>
      <c r="MHQ20" s="21"/>
      <c r="MHR20" s="21"/>
      <c r="MHS20" s="21"/>
      <c r="MHT20" s="21"/>
      <c r="MHU20" s="21"/>
      <c r="MHV20" s="21"/>
      <c r="MHW20" s="21"/>
      <c r="MHX20" s="21"/>
      <c r="MHY20" s="21"/>
      <c r="MHZ20" s="21"/>
      <c r="MIA20" s="21"/>
      <c r="MIB20" s="21"/>
      <c r="MIC20" s="21"/>
      <c r="MID20" s="21"/>
      <c r="MIE20" s="21"/>
      <c r="MIF20" s="21"/>
      <c r="MIG20" s="21"/>
      <c r="MIH20" s="21"/>
      <c r="MII20" s="21"/>
      <c r="MIJ20" s="21"/>
      <c r="MIK20" s="21"/>
      <c r="MIL20" s="21"/>
      <c r="MIM20" s="21"/>
      <c r="MIN20" s="21"/>
      <c r="MIO20" s="21"/>
      <c r="MIP20" s="21"/>
      <c r="MIQ20" s="21"/>
      <c r="MIR20" s="21"/>
      <c r="MIS20" s="21"/>
      <c r="MIT20" s="21"/>
      <c r="MIU20" s="21"/>
      <c r="MIV20" s="21"/>
      <c r="MIW20" s="21"/>
      <c r="MIX20" s="21"/>
      <c r="MIY20" s="21"/>
      <c r="MIZ20" s="21"/>
      <c r="MJA20" s="21"/>
      <c r="MJB20" s="21"/>
      <c r="MJC20" s="21"/>
      <c r="MJD20" s="21"/>
      <c r="MJE20" s="21"/>
      <c r="MJF20" s="21"/>
      <c r="MJG20" s="21"/>
      <c r="MJH20" s="21"/>
      <c r="MJI20" s="21"/>
      <c r="MJJ20" s="21"/>
      <c r="MJK20" s="21"/>
      <c r="MJL20" s="21"/>
      <c r="MJM20" s="21"/>
      <c r="MJN20" s="21"/>
      <c r="MJO20" s="21"/>
      <c r="MJP20" s="21"/>
      <c r="MJQ20" s="21"/>
      <c r="MJR20" s="21"/>
      <c r="MJS20" s="21"/>
      <c r="MJT20" s="21"/>
      <c r="MJU20" s="21"/>
      <c r="MJV20" s="21"/>
      <c r="MJW20" s="21"/>
      <c r="MJX20" s="21"/>
      <c r="MJY20" s="21"/>
      <c r="MJZ20" s="21"/>
      <c r="MKA20" s="21"/>
      <c r="MKB20" s="21"/>
      <c r="MKC20" s="21"/>
      <c r="MKD20" s="21"/>
      <c r="MKE20" s="21"/>
      <c r="MKF20" s="21"/>
      <c r="MKG20" s="21"/>
      <c r="MKH20" s="21"/>
      <c r="MKI20" s="21"/>
      <c r="MKJ20" s="21"/>
      <c r="MKK20" s="21"/>
      <c r="MKL20" s="21"/>
      <c r="MKM20" s="21"/>
      <c r="MKN20" s="21"/>
      <c r="MKO20" s="21"/>
      <c r="MKP20" s="21"/>
      <c r="MKQ20" s="21"/>
      <c r="MKR20" s="21"/>
      <c r="MKS20" s="21"/>
      <c r="MKT20" s="21"/>
      <c r="MKU20" s="21"/>
      <c r="MKV20" s="21"/>
      <c r="MKW20" s="21"/>
      <c r="MKX20" s="21"/>
      <c r="MKY20" s="21"/>
      <c r="MKZ20" s="21"/>
      <c r="MLA20" s="21"/>
      <c r="MLB20" s="21"/>
      <c r="MLC20" s="21"/>
      <c r="MLD20" s="21"/>
      <c r="MLE20" s="21"/>
      <c r="MLF20" s="21"/>
      <c r="MLG20" s="21"/>
      <c r="MLH20" s="21"/>
      <c r="MLI20" s="21"/>
      <c r="MLJ20" s="21"/>
      <c r="MLK20" s="21"/>
      <c r="MLL20" s="21"/>
      <c r="MLM20" s="21"/>
      <c r="MLN20" s="21"/>
      <c r="MLO20" s="21"/>
      <c r="MLP20" s="21"/>
      <c r="MLQ20" s="21"/>
      <c r="MLR20" s="21"/>
      <c r="MLS20" s="21"/>
      <c r="MLT20" s="21"/>
      <c r="MLU20" s="21"/>
      <c r="MLV20" s="21"/>
      <c r="MLW20" s="21"/>
      <c r="MLX20" s="21"/>
      <c r="MLY20" s="21"/>
      <c r="MLZ20" s="21"/>
      <c r="MMA20" s="21"/>
      <c r="MMB20" s="21"/>
      <c r="MMC20" s="21"/>
      <c r="MMD20" s="21"/>
      <c r="MME20" s="21"/>
      <c r="MMF20" s="21"/>
      <c r="MMG20" s="21"/>
      <c r="MMH20" s="21"/>
      <c r="MMI20" s="21"/>
      <c r="MMJ20" s="21"/>
      <c r="MMK20" s="21"/>
      <c r="MML20" s="21"/>
      <c r="MMM20" s="21"/>
      <c r="MMN20" s="21"/>
      <c r="MMO20" s="21"/>
      <c r="MMP20" s="21"/>
      <c r="MMQ20" s="21"/>
      <c r="MMR20" s="21"/>
      <c r="MMS20" s="21"/>
      <c r="MMT20" s="21"/>
      <c r="MMU20" s="21"/>
      <c r="MMV20" s="21"/>
      <c r="MMW20" s="21"/>
      <c r="MMX20" s="21"/>
      <c r="MMY20" s="21"/>
      <c r="MMZ20" s="21"/>
      <c r="MNA20" s="21"/>
      <c r="MNB20" s="21"/>
      <c r="MNC20" s="21"/>
      <c r="MND20" s="21"/>
      <c r="MNE20" s="21"/>
      <c r="MNF20" s="21"/>
      <c r="MNG20" s="21"/>
      <c r="MNH20" s="21"/>
      <c r="MNI20" s="21"/>
      <c r="MNJ20" s="21"/>
      <c r="MNK20" s="21"/>
      <c r="MNL20" s="21"/>
      <c r="MNM20" s="21"/>
      <c r="MNN20" s="21"/>
      <c r="MNO20" s="21"/>
      <c r="MNP20" s="21"/>
      <c r="MNQ20" s="21"/>
      <c r="MNR20" s="21"/>
      <c r="MNS20" s="21"/>
      <c r="MNT20" s="21"/>
      <c r="MNU20" s="21"/>
      <c r="MNV20" s="21"/>
      <c r="MNW20" s="21"/>
      <c r="MNX20" s="21"/>
      <c r="MNY20" s="21"/>
      <c r="MNZ20" s="21"/>
      <c r="MOA20" s="21"/>
      <c r="MOB20" s="21"/>
      <c r="MOC20" s="21"/>
      <c r="MOD20" s="21"/>
      <c r="MOE20" s="21"/>
      <c r="MOF20" s="21"/>
      <c r="MOG20" s="21"/>
      <c r="MOH20" s="21"/>
      <c r="MOI20" s="21"/>
      <c r="MOJ20" s="21"/>
      <c r="MOK20" s="21"/>
      <c r="MOL20" s="21"/>
      <c r="MOM20" s="21"/>
      <c r="MON20" s="21"/>
      <c r="MOO20" s="21"/>
      <c r="MOP20" s="21"/>
      <c r="MOQ20" s="21"/>
      <c r="MOR20" s="21"/>
      <c r="MOS20" s="21"/>
      <c r="MOT20" s="21"/>
      <c r="MOU20" s="21"/>
      <c r="MOV20" s="21"/>
      <c r="MOW20" s="21"/>
      <c r="MOX20" s="21"/>
      <c r="MOY20" s="21"/>
      <c r="MOZ20" s="21"/>
      <c r="MPA20" s="21"/>
      <c r="MPB20" s="21"/>
      <c r="MPC20" s="21"/>
      <c r="MPD20" s="21"/>
      <c r="MPE20" s="21"/>
      <c r="MPF20" s="21"/>
      <c r="MPG20" s="21"/>
      <c r="MPH20" s="21"/>
      <c r="MPI20" s="21"/>
      <c r="MPJ20" s="21"/>
      <c r="MPK20" s="21"/>
      <c r="MPL20" s="21"/>
      <c r="MPM20" s="21"/>
      <c r="MPN20" s="21"/>
      <c r="MPO20" s="21"/>
      <c r="MPP20" s="21"/>
      <c r="MPQ20" s="21"/>
      <c r="MPR20" s="21"/>
      <c r="MPS20" s="21"/>
      <c r="MPT20" s="21"/>
      <c r="MPU20" s="21"/>
      <c r="MPV20" s="21"/>
      <c r="MPW20" s="21"/>
      <c r="MPX20" s="21"/>
      <c r="MPY20" s="21"/>
      <c r="MPZ20" s="21"/>
      <c r="MQA20" s="21"/>
      <c r="MQB20" s="21"/>
      <c r="MQC20" s="21"/>
      <c r="MQD20" s="21"/>
      <c r="MQE20" s="21"/>
      <c r="MQF20" s="21"/>
      <c r="MQG20" s="21"/>
      <c r="MQH20" s="21"/>
      <c r="MQI20" s="21"/>
      <c r="MQJ20" s="21"/>
      <c r="MQK20" s="21"/>
      <c r="MQL20" s="21"/>
      <c r="MQM20" s="21"/>
      <c r="MQN20" s="21"/>
      <c r="MQO20" s="21"/>
      <c r="MQP20" s="21"/>
      <c r="MQQ20" s="21"/>
      <c r="MQR20" s="21"/>
      <c r="MQS20" s="21"/>
      <c r="MQT20" s="21"/>
      <c r="MQU20" s="21"/>
      <c r="MQV20" s="21"/>
      <c r="MQW20" s="21"/>
      <c r="MQX20" s="21"/>
      <c r="MQY20" s="21"/>
      <c r="MQZ20" s="21"/>
      <c r="MRA20" s="21"/>
      <c r="MRB20" s="21"/>
      <c r="MRC20" s="21"/>
      <c r="MRD20" s="21"/>
      <c r="MRE20" s="21"/>
      <c r="MRF20" s="21"/>
      <c r="MRG20" s="21"/>
      <c r="MRH20" s="21"/>
      <c r="MRI20" s="21"/>
      <c r="MRJ20" s="21"/>
      <c r="MRK20" s="21"/>
      <c r="MRL20" s="21"/>
      <c r="MRM20" s="21"/>
      <c r="MRN20" s="21"/>
      <c r="MRO20" s="21"/>
      <c r="MRP20" s="21"/>
      <c r="MRQ20" s="21"/>
      <c r="MRR20" s="21"/>
      <c r="MRS20" s="21"/>
      <c r="MRT20" s="21"/>
      <c r="MRU20" s="21"/>
      <c r="MRV20" s="21"/>
      <c r="MRW20" s="21"/>
      <c r="MRX20" s="21"/>
      <c r="MRY20" s="21"/>
      <c r="MRZ20" s="21"/>
      <c r="MSA20" s="21"/>
      <c r="MSB20" s="21"/>
      <c r="MSC20" s="21"/>
      <c r="MSD20" s="21"/>
      <c r="MSE20" s="21"/>
      <c r="MSF20" s="21"/>
      <c r="MSG20" s="21"/>
      <c r="MSH20" s="21"/>
      <c r="MSI20" s="21"/>
      <c r="MSJ20" s="21"/>
      <c r="MSK20" s="21"/>
      <c r="MSL20" s="21"/>
      <c r="MSM20" s="21"/>
      <c r="MSN20" s="21"/>
      <c r="MSO20" s="21"/>
      <c r="MSP20" s="21"/>
      <c r="MSQ20" s="21"/>
      <c r="MSR20" s="21"/>
      <c r="MSS20" s="21"/>
      <c r="MST20" s="21"/>
      <c r="MSU20" s="21"/>
      <c r="MSV20" s="21"/>
      <c r="MSW20" s="21"/>
      <c r="MSX20" s="21"/>
      <c r="MSY20" s="21"/>
      <c r="MSZ20" s="21"/>
      <c r="MTA20" s="21"/>
      <c r="MTB20" s="21"/>
      <c r="MTC20" s="21"/>
      <c r="MTD20" s="21"/>
      <c r="MTE20" s="21"/>
      <c r="MTF20" s="21"/>
      <c r="MTG20" s="21"/>
      <c r="MTH20" s="21"/>
      <c r="MTI20" s="21"/>
      <c r="MTJ20" s="21"/>
      <c r="MTK20" s="21"/>
      <c r="MTL20" s="21"/>
      <c r="MTM20" s="21"/>
      <c r="MTN20" s="21"/>
      <c r="MTO20" s="21"/>
      <c r="MTP20" s="21"/>
      <c r="MTQ20" s="21"/>
      <c r="MTR20" s="21"/>
      <c r="MTS20" s="21"/>
      <c r="MTT20" s="21"/>
      <c r="MTU20" s="21"/>
      <c r="MTV20" s="21"/>
      <c r="MTW20" s="21"/>
      <c r="MTX20" s="21"/>
      <c r="MTY20" s="21"/>
      <c r="MTZ20" s="21"/>
      <c r="MUA20" s="21"/>
      <c r="MUB20" s="21"/>
      <c r="MUC20" s="21"/>
      <c r="MUD20" s="21"/>
      <c r="MUE20" s="21"/>
      <c r="MUF20" s="21"/>
      <c r="MUG20" s="21"/>
      <c r="MUH20" s="21"/>
      <c r="MUI20" s="21"/>
      <c r="MUJ20" s="21"/>
      <c r="MUK20" s="21"/>
      <c r="MUL20" s="21"/>
      <c r="MUM20" s="21"/>
      <c r="MUN20" s="21"/>
      <c r="MUO20" s="21"/>
      <c r="MUP20" s="21"/>
      <c r="MUQ20" s="21"/>
      <c r="MUR20" s="21"/>
      <c r="MUS20" s="21"/>
      <c r="MUT20" s="21"/>
      <c r="MUU20" s="21"/>
      <c r="MUV20" s="21"/>
      <c r="MUW20" s="21"/>
      <c r="MUX20" s="21"/>
      <c r="MUY20" s="21"/>
      <c r="MUZ20" s="21"/>
      <c r="MVA20" s="21"/>
      <c r="MVB20" s="21"/>
      <c r="MVC20" s="21"/>
      <c r="MVD20" s="21"/>
      <c r="MVE20" s="21"/>
      <c r="MVF20" s="21"/>
      <c r="MVG20" s="21"/>
      <c r="MVH20" s="21"/>
      <c r="MVI20" s="21"/>
      <c r="MVJ20" s="21"/>
      <c r="MVK20" s="21"/>
      <c r="MVL20" s="21"/>
      <c r="MVM20" s="21"/>
      <c r="MVN20" s="21"/>
      <c r="MVO20" s="21"/>
      <c r="MVP20" s="21"/>
      <c r="MVQ20" s="21"/>
      <c r="MVR20" s="21"/>
      <c r="MVS20" s="21"/>
      <c r="MVT20" s="21"/>
      <c r="MVU20" s="21"/>
      <c r="MVV20" s="21"/>
      <c r="MVW20" s="21"/>
      <c r="MVX20" s="21"/>
      <c r="MVY20" s="21"/>
      <c r="MVZ20" s="21"/>
      <c r="MWA20" s="21"/>
      <c r="MWB20" s="21"/>
      <c r="MWC20" s="21"/>
      <c r="MWD20" s="21"/>
      <c r="MWE20" s="21"/>
      <c r="MWF20" s="21"/>
      <c r="MWG20" s="21"/>
      <c r="MWH20" s="21"/>
      <c r="MWI20" s="21"/>
      <c r="MWJ20" s="21"/>
      <c r="MWK20" s="21"/>
      <c r="MWL20" s="21"/>
      <c r="MWM20" s="21"/>
      <c r="MWN20" s="21"/>
      <c r="MWO20" s="21"/>
      <c r="MWP20" s="21"/>
      <c r="MWQ20" s="21"/>
      <c r="MWR20" s="21"/>
      <c r="MWS20" s="21"/>
      <c r="MWT20" s="21"/>
      <c r="MWU20" s="21"/>
      <c r="MWV20" s="21"/>
      <c r="MWW20" s="21"/>
      <c r="MWX20" s="21"/>
      <c r="MWY20" s="21"/>
      <c r="MWZ20" s="21"/>
      <c r="MXA20" s="21"/>
      <c r="MXB20" s="21"/>
      <c r="MXC20" s="21"/>
      <c r="MXD20" s="21"/>
      <c r="MXE20" s="21"/>
      <c r="MXF20" s="21"/>
      <c r="MXG20" s="21"/>
      <c r="MXH20" s="21"/>
      <c r="MXI20" s="21"/>
      <c r="MXJ20" s="21"/>
      <c r="MXK20" s="21"/>
      <c r="MXL20" s="21"/>
      <c r="MXM20" s="21"/>
      <c r="MXN20" s="21"/>
      <c r="MXO20" s="21"/>
      <c r="MXP20" s="21"/>
      <c r="MXQ20" s="21"/>
      <c r="MXR20" s="21"/>
      <c r="MXS20" s="21"/>
      <c r="MXT20" s="21"/>
      <c r="MXU20" s="21"/>
      <c r="MXV20" s="21"/>
      <c r="MXW20" s="21"/>
      <c r="MXX20" s="21"/>
      <c r="MXY20" s="21"/>
      <c r="MXZ20" s="21"/>
      <c r="MYA20" s="21"/>
      <c r="MYB20" s="21"/>
      <c r="MYC20" s="21"/>
      <c r="MYD20" s="21"/>
      <c r="MYE20" s="21"/>
      <c r="MYF20" s="21"/>
      <c r="MYG20" s="21"/>
      <c r="MYH20" s="21"/>
      <c r="MYI20" s="21"/>
      <c r="MYJ20" s="21"/>
      <c r="MYK20" s="21"/>
      <c r="MYL20" s="21"/>
      <c r="MYM20" s="21"/>
      <c r="MYN20" s="21"/>
      <c r="MYO20" s="21"/>
      <c r="MYP20" s="21"/>
      <c r="MYQ20" s="21"/>
      <c r="MYR20" s="21"/>
      <c r="MYS20" s="21"/>
      <c r="MYT20" s="21"/>
      <c r="MYU20" s="21"/>
      <c r="MYV20" s="21"/>
      <c r="MYW20" s="21"/>
      <c r="MYX20" s="21"/>
      <c r="MYY20" s="21"/>
      <c r="MYZ20" s="21"/>
      <c r="MZA20" s="21"/>
      <c r="MZB20" s="21"/>
      <c r="MZC20" s="21"/>
      <c r="MZD20" s="21"/>
      <c r="MZE20" s="21"/>
      <c r="MZF20" s="21"/>
      <c r="MZG20" s="21"/>
      <c r="MZH20" s="21"/>
      <c r="MZI20" s="21"/>
      <c r="MZJ20" s="21"/>
      <c r="MZK20" s="21"/>
      <c r="MZL20" s="21"/>
      <c r="MZM20" s="21"/>
      <c r="MZN20" s="21"/>
      <c r="MZO20" s="21"/>
      <c r="MZP20" s="21"/>
      <c r="MZQ20" s="21"/>
      <c r="MZR20" s="21"/>
      <c r="MZS20" s="21"/>
      <c r="MZT20" s="21"/>
      <c r="MZU20" s="21"/>
      <c r="MZV20" s="21"/>
      <c r="MZW20" s="21"/>
      <c r="MZX20" s="21"/>
      <c r="MZY20" s="21"/>
      <c r="MZZ20" s="21"/>
      <c r="NAA20" s="21"/>
      <c r="NAB20" s="21"/>
      <c r="NAC20" s="21"/>
      <c r="NAD20" s="21"/>
      <c r="NAE20" s="21"/>
      <c r="NAF20" s="21"/>
      <c r="NAG20" s="21"/>
      <c r="NAH20" s="21"/>
      <c r="NAI20" s="21"/>
      <c r="NAJ20" s="21"/>
      <c r="NAK20" s="21"/>
      <c r="NAL20" s="21"/>
      <c r="NAM20" s="21"/>
      <c r="NAN20" s="21"/>
      <c r="NAO20" s="21"/>
      <c r="NAP20" s="21"/>
      <c r="NAQ20" s="21"/>
      <c r="NAR20" s="21"/>
      <c r="NAS20" s="21"/>
      <c r="NAT20" s="21"/>
      <c r="NAU20" s="21"/>
      <c r="NAV20" s="21"/>
      <c r="NAW20" s="21"/>
      <c r="NAX20" s="21"/>
      <c r="NAY20" s="21"/>
      <c r="NAZ20" s="21"/>
      <c r="NBA20" s="21"/>
      <c r="NBB20" s="21"/>
      <c r="NBC20" s="21"/>
      <c r="NBD20" s="21"/>
      <c r="NBE20" s="21"/>
      <c r="NBF20" s="21"/>
      <c r="NBG20" s="21"/>
      <c r="NBH20" s="21"/>
      <c r="NBI20" s="21"/>
      <c r="NBJ20" s="21"/>
      <c r="NBK20" s="21"/>
      <c r="NBL20" s="21"/>
      <c r="NBM20" s="21"/>
      <c r="NBN20" s="21"/>
      <c r="NBO20" s="21"/>
      <c r="NBP20" s="21"/>
      <c r="NBQ20" s="21"/>
      <c r="NBR20" s="21"/>
      <c r="NBS20" s="21"/>
      <c r="NBT20" s="21"/>
      <c r="NBU20" s="21"/>
      <c r="NBV20" s="21"/>
      <c r="NBW20" s="21"/>
      <c r="NBX20" s="21"/>
      <c r="NBY20" s="21"/>
      <c r="NBZ20" s="21"/>
      <c r="NCA20" s="21"/>
      <c r="NCB20" s="21"/>
      <c r="NCC20" s="21"/>
      <c r="NCD20" s="21"/>
      <c r="NCE20" s="21"/>
      <c r="NCF20" s="21"/>
      <c r="NCG20" s="21"/>
      <c r="NCH20" s="21"/>
      <c r="NCI20" s="21"/>
      <c r="NCJ20" s="21"/>
      <c r="NCK20" s="21"/>
      <c r="NCL20" s="21"/>
      <c r="NCM20" s="21"/>
      <c r="NCN20" s="21"/>
      <c r="NCO20" s="21"/>
      <c r="NCP20" s="21"/>
      <c r="NCQ20" s="21"/>
      <c r="NCR20" s="21"/>
      <c r="NCS20" s="21"/>
      <c r="NCT20" s="21"/>
      <c r="NCU20" s="21"/>
      <c r="NCV20" s="21"/>
      <c r="NCW20" s="21"/>
      <c r="NCX20" s="21"/>
      <c r="NCY20" s="21"/>
      <c r="NCZ20" s="21"/>
      <c r="NDA20" s="21"/>
      <c r="NDB20" s="21"/>
      <c r="NDC20" s="21"/>
      <c r="NDD20" s="21"/>
      <c r="NDE20" s="21"/>
      <c r="NDF20" s="21"/>
      <c r="NDG20" s="21"/>
      <c r="NDH20" s="21"/>
      <c r="NDI20" s="21"/>
      <c r="NDJ20" s="21"/>
      <c r="NDK20" s="21"/>
      <c r="NDL20" s="21"/>
      <c r="NDM20" s="21"/>
      <c r="NDN20" s="21"/>
      <c r="NDO20" s="21"/>
      <c r="NDP20" s="21"/>
      <c r="NDQ20" s="21"/>
      <c r="NDR20" s="21"/>
      <c r="NDS20" s="21"/>
      <c r="NDT20" s="21"/>
      <c r="NDU20" s="21"/>
      <c r="NDV20" s="21"/>
      <c r="NDW20" s="21"/>
      <c r="NDX20" s="21"/>
      <c r="NDY20" s="21"/>
      <c r="NDZ20" s="21"/>
      <c r="NEA20" s="21"/>
      <c r="NEB20" s="21"/>
      <c r="NEC20" s="21"/>
      <c r="NED20" s="21"/>
      <c r="NEE20" s="21"/>
      <c r="NEF20" s="21"/>
      <c r="NEG20" s="21"/>
      <c r="NEH20" s="21"/>
      <c r="NEI20" s="21"/>
      <c r="NEJ20" s="21"/>
      <c r="NEK20" s="21"/>
      <c r="NEL20" s="21"/>
      <c r="NEM20" s="21"/>
      <c r="NEN20" s="21"/>
      <c r="NEO20" s="21"/>
      <c r="NEP20" s="21"/>
      <c r="NEQ20" s="21"/>
      <c r="NER20" s="21"/>
      <c r="NES20" s="21"/>
      <c r="NET20" s="21"/>
      <c r="NEU20" s="21"/>
      <c r="NEV20" s="21"/>
      <c r="NEW20" s="21"/>
      <c r="NEX20" s="21"/>
      <c r="NEY20" s="21"/>
      <c r="NEZ20" s="21"/>
      <c r="NFA20" s="21"/>
      <c r="NFB20" s="21"/>
      <c r="NFC20" s="21"/>
      <c r="NFD20" s="21"/>
      <c r="NFE20" s="21"/>
      <c r="NFF20" s="21"/>
      <c r="NFG20" s="21"/>
      <c r="NFH20" s="21"/>
      <c r="NFI20" s="21"/>
      <c r="NFJ20" s="21"/>
      <c r="NFK20" s="21"/>
      <c r="NFL20" s="21"/>
      <c r="NFM20" s="21"/>
      <c r="NFN20" s="21"/>
      <c r="NFO20" s="21"/>
      <c r="NFP20" s="21"/>
      <c r="NFQ20" s="21"/>
      <c r="NFR20" s="21"/>
      <c r="NFS20" s="21"/>
      <c r="NFT20" s="21"/>
      <c r="NFU20" s="21"/>
      <c r="NFV20" s="21"/>
      <c r="NFW20" s="21"/>
      <c r="NFX20" s="21"/>
      <c r="NFY20" s="21"/>
      <c r="NFZ20" s="21"/>
      <c r="NGA20" s="21"/>
      <c r="NGB20" s="21"/>
      <c r="NGC20" s="21"/>
      <c r="NGD20" s="21"/>
      <c r="NGE20" s="21"/>
      <c r="NGF20" s="21"/>
      <c r="NGG20" s="21"/>
      <c r="NGH20" s="21"/>
      <c r="NGI20" s="21"/>
      <c r="NGJ20" s="21"/>
      <c r="NGK20" s="21"/>
      <c r="NGL20" s="21"/>
      <c r="NGM20" s="21"/>
      <c r="NGN20" s="21"/>
      <c r="NGO20" s="21"/>
      <c r="NGP20" s="21"/>
      <c r="NGQ20" s="21"/>
      <c r="NGR20" s="21"/>
      <c r="NGS20" s="21"/>
      <c r="NGT20" s="21"/>
      <c r="NGU20" s="21"/>
      <c r="NGV20" s="21"/>
      <c r="NGW20" s="21"/>
      <c r="NGX20" s="21"/>
      <c r="NGY20" s="21"/>
      <c r="NGZ20" s="21"/>
      <c r="NHA20" s="21"/>
      <c r="NHB20" s="21"/>
      <c r="NHC20" s="21"/>
      <c r="NHD20" s="21"/>
      <c r="NHE20" s="21"/>
      <c r="NHF20" s="21"/>
      <c r="NHG20" s="21"/>
      <c r="NHH20" s="21"/>
      <c r="NHI20" s="21"/>
      <c r="NHJ20" s="21"/>
      <c r="NHK20" s="21"/>
      <c r="NHL20" s="21"/>
      <c r="NHM20" s="21"/>
      <c r="NHN20" s="21"/>
      <c r="NHO20" s="21"/>
      <c r="NHP20" s="21"/>
      <c r="NHQ20" s="21"/>
      <c r="NHR20" s="21"/>
      <c r="NHS20" s="21"/>
      <c r="NHT20" s="21"/>
      <c r="NHU20" s="21"/>
      <c r="NHV20" s="21"/>
      <c r="NHW20" s="21"/>
      <c r="NHX20" s="21"/>
      <c r="NHY20" s="21"/>
      <c r="NHZ20" s="21"/>
      <c r="NIA20" s="21"/>
      <c r="NIB20" s="21"/>
      <c r="NIC20" s="21"/>
      <c r="NID20" s="21"/>
      <c r="NIE20" s="21"/>
      <c r="NIF20" s="21"/>
      <c r="NIG20" s="21"/>
      <c r="NIH20" s="21"/>
      <c r="NII20" s="21"/>
      <c r="NIJ20" s="21"/>
      <c r="NIK20" s="21"/>
      <c r="NIL20" s="21"/>
      <c r="NIM20" s="21"/>
      <c r="NIN20" s="21"/>
      <c r="NIO20" s="21"/>
      <c r="NIP20" s="21"/>
      <c r="NIQ20" s="21"/>
      <c r="NIR20" s="21"/>
      <c r="NIS20" s="21"/>
      <c r="NIT20" s="21"/>
      <c r="NIU20" s="21"/>
      <c r="NIV20" s="21"/>
      <c r="NIW20" s="21"/>
      <c r="NIX20" s="21"/>
      <c r="NIY20" s="21"/>
      <c r="NIZ20" s="21"/>
      <c r="NJA20" s="21"/>
      <c r="NJB20" s="21"/>
      <c r="NJC20" s="21"/>
      <c r="NJD20" s="21"/>
      <c r="NJE20" s="21"/>
      <c r="NJF20" s="21"/>
      <c r="NJG20" s="21"/>
      <c r="NJH20" s="21"/>
      <c r="NJI20" s="21"/>
      <c r="NJJ20" s="21"/>
      <c r="NJK20" s="21"/>
      <c r="NJL20" s="21"/>
      <c r="NJM20" s="21"/>
      <c r="NJN20" s="21"/>
      <c r="NJO20" s="21"/>
      <c r="NJP20" s="21"/>
      <c r="NJQ20" s="21"/>
      <c r="NJR20" s="21"/>
      <c r="NJS20" s="21"/>
      <c r="NJT20" s="21"/>
      <c r="NJU20" s="21"/>
      <c r="NJV20" s="21"/>
      <c r="NJW20" s="21"/>
      <c r="NJX20" s="21"/>
      <c r="NJY20" s="21"/>
      <c r="NJZ20" s="21"/>
      <c r="NKA20" s="21"/>
      <c r="NKB20" s="21"/>
      <c r="NKC20" s="21"/>
      <c r="NKD20" s="21"/>
      <c r="NKE20" s="21"/>
      <c r="NKF20" s="21"/>
      <c r="NKG20" s="21"/>
      <c r="NKH20" s="21"/>
      <c r="NKI20" s="21"/>
      <c r="NKJ20" s="21"/>
      <c r="NKK20" s="21"/>
      <c r="NKL20" s="21"/>
      <c r="NKM20" s="21"/>
      <c r="NKN20" s="21"/>
      <c r="NKO20" s="21"/>
      <c r="NKP20" s="21"/>
      <c r="NKQ20" s="21"/>
      <c r="NKR20" s="21"/>
      <c r="NKS20" s="21"/>
      <c r="NKT20" s="21"/>
      <c r="NKU20" s="21"/>
      <c r="NKV20" s="21"/>
      <c r="NKW20" s="21"/>
      <c r="NKX20" s="21"/>
      <c r="NKY20" s="21"/>
      <c r="NKZ20" s="21"/>
      <c r="NLA20" s="21"/>
      <c r="NLB20" s="21"/>
      <c r="NLC20" s="21"/>
      <c r="NLD20" s="21"/>
      <c r="NLE20" s="21"/>
      <c r="NLF20" s="21"/>
      <c r="NLG20" s="21"/>
      <c r="NLH20" s="21"/>
      <c r="NLI20" s="21"/>
      <c r="NLJ20" s="21"/>
      <c r="NLK20" s="21"/>
      <c r="NLL20" s="21"/>
      <c r="NLM20" s="21"/>
      <c r="NLN20" s="21"/>
      <c r="NLO20" s="21"/>
      <c r="NLP20" s="21"/>
      <c r="NLQ20" s="21"/>
      <c r="NLR20" s="21"/>
      <c r="NLS20" s="21"/>
      <c r="NLT20" s="21"/>
      <c r="NLU20" s="21"/>
      <c r="NLV20" s="21"/>
      <c r="NLW20" s="21"/>
      <c r="NLX20" s="21"/>
      <c r="NLY20" s="21"/>
      <c r="NLZ20" s="21"/>
      <c r="NMA20" s="21"/>
      <c r="NMB20" s="21"/>
      <c r="NMC20" s="21"/>
      <c r="NMD20" s="21"/>
      <c r="NME20" s="21"/>
      <c r="NMF20" s="21"/>
      <c r="NMG20" s="21"/>
      <c r="NMH20" s="21"/>
      <c r="NMI20" s="21"/>
      <c r="NMJ20" s="21"/>
      <c r="NMK20" s="21"/>
      <c r="NML20" s="21"/>
      <c r="NMM20" s="21"/>
      <c r="NMN20" s="21"/>
      <c r="NMO20" s="21"/>
      <c r="NMP20" s="21"/>
      <c r="NMQ20" s="21"/>
      <c r="NMR20" s="21"/>
      <c r="NMS20" s="21"/>
      <c r="NMT20" s="21"/>
      <c r="NMU20" s="21"/>
      <c r="NMV20" s="21"/>
      <c r="NMW20" s="21"/>
      <c r="NMX20" s="21"/>
      <c r="NMY20" s="21"/>
      <c r="NMZ20" s="21"/>
      <c r="NNA20" s="21"/>
      <c r="NNB20" s="21"/>
      <c r="NNC20" s="21"/>
      <c r="NND20" s="21"/>
      <c r="NNE20" s="21"/>
      <c r="NNF20" s="21"/>
      <c r="NNG20" s="21"/>
      <c r="NNH20" s="21"/>
      <c r="NNI20" s="21"/>
      <c r="NNJ20" s="21"/>
      <c r="NNK20" s="21"/>
      <c r="NNL20" s="21"/>
      <c r="NNM20" s="21"/>
      <c r="NNN20" s="21"/>
      <c r="NNO20" s="21"/>
      <c r="NNP20" s="21"/>
      <c r="NNQ20" s="21"/>
      <c r="NNR20" s="21"/>
      <c r="NNS20" s="21"/>
      <c r="NNT20" s="21"/>
      <c r="NNU20" s="21"/>
      <c r="NNV20" s="21"/>
      <c r="NNW20" s="21"/>
      <c r="NNX20" s="21"/>
      <c r="NNY20" s="21"/>
      <c r="NNZ20" s="21"/>
      <c r="NOA20" s="21"/>
      <c r="NOB20" s="21"/>
      <c r="NOC20" s="21"/>
      <c r="NOD20" s="21"/>
      <c r="NOE20" s="21"/>
      <c r="NOF20" s="21"/>
      <c r="NOG20" s="21"/>
      <c r="NOH20" s="21"/>
      <c r="NOI20" s="21"/>
      <c r="NOJ20" s="21"/>
      <c r="NOK20" s="21"/>
      <c r="NOL20" s="21"/>
      <c r="NOM20" s="21"/>
      <c r="NON20" s="21"/>
      <c r="NOO20" s="21"/>
      <c r="NOP20" s="21"/>
      <c r="NOQ20" s="21"/>
      <c r="NOR20" s="21"/>
      <c r="NOS20" s="21"/>
      <c r="NOT20" s="21"/>
      <c r="NOU20" s="21"/>
      <c r="NOV20" s="21"/>
      <c r="NOW20" s="21"/>
      <c r="NOX20" s="21"/>
      <c r="NOY20" s="21"/>
      <c r="NOZ20" s="21"/>
      <c r="NPA20" s="21"/>
      <c r="NPB20" s="21"/>
      <c r="NPC20" s="21"/>
      <c r="NPD20" s="21"/>
      <c r="NPE20" s="21"/>
      <c r="NPF20" s="21"/>
      <c r="NPG20" s="21"/>
      <c r="NPH20" s="21"/>
      <c r="NPI20" s="21"/>
      <c r="NPJ20" s="21"/>
      <c r="NPK20" s="21"/>
      <c r="NPL20" s="21"/>
      <c r="NPM20" s="21"/>
      <c r="NPN20" s="21"/>
      <c r="NPO20" s="21"/>
      <c r="NPP20" s="21"/>
      <c r="NPQ20" s="21"/>
      <c r="NPR20" s="21"/>
      <c r="NPS20" s="21"/>
      <c r="NPT20" s="21"/>
      <c r="NPU20" s="21"/>
      <c r="NPV20" s="21"/>
      <c r="NPW20" s="21"/>
      <c r="NPX20" s="21"/>
      <c r="NPY20" s="21"/>
      <c r="NPZ20" s="21"/>
      <c r="NQA20" s="21"/>
      <c r="NQB20" s="21"/>
      <c r="NQC20" s="21"/>
      <c r="NQD20" s="21"/>
      <c r="NQE20" s="21"/>
      <c r="NQF20" s="21"/>
      <c r="NQG20" s="21"/>
      <c r="NQH20" s="21"/>
      <c r="NQI20" s="21"/>
      <c r="NQJ20" s="21"/>
      <c r="NQK20" s="21"/>
      <c r="NQL20" s="21"/>
      <c r="NQM20" s="21"/>
      <c r="NQN20" s="21"/>
      <c r="NQO20" s="21"/>
      <c r="NQP20" s="21"/>
      <c r="NQQ20" s="21"/>
      <c r="NQR20" s="21"/>
      <c r="NQS20" s="21"/>
      <c r="NQT20" s="21"/>
      <c r="NQU20" s="21"/>
      <c r="NQV20" s="21"/>
      <c r="NQW20" s="21"/>
      <c r="NQX20" s="21"/>
      <c r="NQY20" s="21"/>
      <c r="NQZ20" s="21"/>
      <c r="NRA20" s="21"/>
      <c r="NRB20" s="21"/>
      <c r="NRC20" s="21"/>
      <c r="NRD20" s="21"/>
      <c r="NRE20" s="21"/>
      <c r="NRF20" s="21"/>
      <c r="NRG20" s="21"/>
      <c r="NRH20" s="21"/>
      <c r="NRI20" s="21"/>
      <c r="NRJ20" s="21"/>
      <c r="NRK20" s="21"/>
      <c r="NRL20" s="21"/>
      <c r="NRM20" s="21"/>
      <c r="NRN20" s="21"/>
      <c r="NRO20" s="21"/>
      <c r="NRP20" s="21"/>
      <c r="NRQ20" s="21"/>
      <c r="NRR20" s="21"/>
      <c r="NRS20" s="21"/>
      <c r="NRT20" s="21"/>
      <c r="NRU20" s="21"/>
      <c r="NRV20" s="21"/>
      <c r="NRW20" s="21"/>
      <c r="NRX20" s="21"/>
      <c r="NRY20" s="21"/>
      <c r="NRZ20" s="21"/>
      <c r="NSA20" s="21"/>
      <c r="NSB20" s="21"/>
      <c r="NSC20" s="21"/>
      <c r="NSD20" s="21"/>
      <c r="NSE20" s="21"/>
      <c r="NSF20" s="21"/>
      <c r="NSG20" s="21"/>
      <c r="NSH20" s="21"/>
      <c r="NSI20" s="21"/>
      <c r="NSJ20" s="21"/>
      <c r="NSK20" s="21"/>
      <c r="NSL20" s="21"/>
      <c r="NSM20" s="21"/>
      <c r="NSN20" s="21"/>
      <c r="NSO20" s="21"/>
      <c r="NSP20" s="21"/>
      <c r="NSQ20" s="21"/>
      <c r="NSR20" s="21"/>
      <c r="NSS20" s="21"/>
      <c r="NST20" s="21"/>
      <c r="NSU20" s="21"/>
      <c r="NSV20" s="21"/>
      <c r="NSW20" s="21"/>
      <c r="NSX20" s="21"/>
      <c r="NSY20" s="21"/>
      <c r="NSZ20" s="21"/>
      <c r="NTA20" s="21"/>
      <c r="NTB20" s="21"/>
      <c r="NTC20" s="21"/>
      <c r="NTD20" s="21"/>
      <c r="NTE20" s="21"/>
      <c r="NTF20" s="21"/>
      <c r="NTG20" s="21"/>
      <c r="NTH20" s="21"/>
      <c r="NTI20" s="21"/>
      <c r="NTJ20" s="21"/>
      <c r="NTK20" s="21"/>
      <c r="NTL20" s="21"/>
      <c r="NTM20" s="21"/>
      <c r="NTN20" s="21"/>
      <c r="NTO20" s="21"/>
      <c r="NTP20" s="21"/>
      <c r="NTQ20" s="21"/>
      <c r="NTR20" s="21"/>
      <c r="NTS20" s="21"/>
      <c r="NTT20" s="21"/>
      <c r="NTU20" s="21"/>
      <c r="NTV20" s="21"/>
      <c r="NTW20" s="21"/>
      <c r="NTX20" s="21"/>
      <c r="NTY20" s="21"/>
      <c r="NTZ20" s="21"/>
      <c r="NUA20" s="21"/>
      <c r="NUB20" s="21"/>
      <c r="NUC20" s="21"/>
      <c r="NUD20" s="21"/>
      <c r="NUE20" s="21"/>
      <c r="NUF20" s="21"/>
      <c r="NUG20" s="21"/>
      <c r="NUH20" s="21"/>
      <c r="NUI20" s="21"/>
      <c r="NUJ20" s="21"/>
      <c r="NUK20" s="21"/>
      <c r="NUL20" s="21"/>
      <c r="NUM20" s="21"/>
      <c r="NUN20" s="21"/>
      <c r="NUO20" s="21"/>
      <c r="NUP20" s="21"/>
      <c r="NUQ20" s="21"/>
      <c r="NUR20" s="21"/>
      <c r="NUS20" s="21"/>
      <c r="NUT20" s="21"/>
      <c r="NUU20" s="21"/>
      <c r="NUV20" s="21"/>
      <c r="NUW20" s="21"/>
      <c r="NUX20" s="21"/>
      <c r="NUY20" s="21"/>
      <c r="NUZ20" s="21"/>
      <c r="NVA20" s="21"/>
      <c r="NVB20" s="21"/>
      <c r="NVC20" s="21"/>
      <c r="NVD20" s="21"/>
      <c r="NVE20" s="21"/>
      <c r="NVF20" s="21"/>
      <c r="NVG20" s="21"/>
      <c r="NVH20" s="21"/>
      <c r="NVI20" s="21"/>
      <c r="NVJ20" s="21"/>
      <c r="NVK20" s="21"/>
      <c r="NVL20" s="21"/>
      <c r="NVM20" s="21"/>
      <c r="NVN20" s="21"/>
      <c r="NVO20" s="21"/>
      <c r="NVP20" s="21"/>
      <c r="NVQ20" s="21"/>
      <c r="NVR20" s="21"/>
      <c r="NVS20" s="21"/>
      <c r="NVT20" s="21"/>
      <c r="NVU20" s="21"/>
      <c r="NVV20" s="21"/>
      <c r="NVW20" s="21"/>
      <c r="NVX20" s="21"/>
      <c r="NVY20" s="21"/>
      <c r="NVZ20" s="21"/>
      <c r="NWA20" s="21"/>
      <c r="NWB20" s="21"/>
      <c r="NWC20" s="21"/>
      <c r="NWD20" s="21"/>
      <c r="NWE20" s="21"/>
      <c r="NWF20" s="21"/>
      <c r="NWG20" s="21"/>
      <c r="NWH20" s="21"/>
      <c r="NWI20" s="21"/>
      <c r="NWJ20" s="21"/>
      <c r="NWK20" s="21"/>
      <c r="NWL20" s="21"/>
      <c r="NWM20" s="21"/>
      <c r="NWN20" s="21"/>
      <c r="NWO20" s="21"/>
      <c r="NWP20" s="21"/>
      <c r="NWQ20" s="21"/>
      <c r="NWR20" s="21"/>
      <c r="NWS20" s="21"/>
      <c r="NWT20" s="21"/>
      <c r="NWU20" s="21"/>
      <c r="NWV20" s="21"/>
      <c r="NWW20" s="21"/>
      <c r="NWX20" s="21"/>
      <c r="NWY20" s="21"/>
      <c r="NWZ20" s="21"/>
      <c r="NXA20" s="21"/>
      <c r="NXB20" s="21"/>
      <c r="NXC20" s="21"/>
      <c r="NXD20" s="21"/>
      <c r="NXE20" s="21"/>
      <c r="NXF20" s="21"/>
      <c r="NXG20" s="21"/>
      <c r="NXH20" s="21"/>
      <c r="NXI20" s="21"/>
      <c r="NXJ20" s="21"/>
      <c r="NXK20" s="21"/>
      <c r="NXL20" s="21"/>
      <c r="NXM20" s="21"/>
      <c r="NXN20" s="21"/>
      <c r="NXO20" s="21"/>
      <c r="NXP20" s="21"/>
      <c r="NXQ20" s="21"/>
      <c r="NXR20" s="21"/>
      <c r="NXS20" s="21"/>
      <c r="NXT20" s="21"/>
      <c r="NXU20" s="21"/>
      <c r="NXV20" s="21"/>
      <c r="NXW20" s="21"/>
      <c r="NXX20" s="21"/>
      <c r="NXY20" s="21"/>
      <c r="NXZ20" s="21"/>
      <c r="NYA20" s="21"/>
      <c r="NYB20" s="21"/>
      <c r="NYC20" s="21"/>
      <c r="NYD20" s="21"/>
      <c r="NYE20" s="21"/>
      <c r="NYF20" s="21"/>
      <c r="NYG20" s="21"/>
      <c r="NYH20" s="21"/>
      <c r="NYI20" s="21"/>
      <c r="NYJ20" s="21"/>
      <c r="NYK20" s="21"/>
      <c r="NYL20" s="21"/>
      <c r="NYM20" s="21"/>
      <c r="NYN20" s="21"/>
      <c r="NYO20" s="21"/>
      <c r="NYP20" s="21"/>
      <c r="NYQ20" s="21"/>
      <c r="NYR20" s="21"/>
      <c r="NYS20" s="21"/>
      <c r="NYT20" s="21"/>
      <c r="NYU20" s="21"/>
      <c r="NYV20" s="21"/>
      <c r="NYW20" s="21"/>
      <c r="NYX20" s="21"/>
      <c r="NYY20" s="21"/>
      <c r="NYZ20" s="21"/>
      <c r="NZA20" s="21"/>
      <c r="NZB20" s="21"/>
      <c r="NZC20" s="21"/>
      <c r="NZD20" s="21"/>
      <c r="NZE20" s="21"/>
      <c r="NZF20" s="21"/>
      <c r="NZG20" s="21"/>
      <c r="NZH20" s="21"/>
      <c r="NZI20" s="21"/>
      <c r="NZJ20" s="21"/>
      <c r="NZK20" s="21"/>
      <c r="NZL20" s="21"/>
      <c r="NZM20" s="21"/>
      <c r="NZN20" s="21"/>
      <c r="NZO20" s="21"/>
      <c r="NZP20" s="21"/>
      <c r="NZQ20" s="21"/>
      <c r="NZR20" s="21"/>
      <c r="NZS20" s="21"/>
      <c r="NZT20" s="21"/>
      <c r="NZU20" s="21"/>
      <c r="NZV20" s="21"/>
      <c r="NZW20" s="21"/>
      <c r="NZX20" s="21"/>
      <c r="NZY20" s="21"/>
      <c r="NZZ20" s="21"/>
      <c r="OAA20" s="21"/>
      <c r="OAB20" s="21"/>
      <c r="OAC20" s="21"/>
      <c r="OAD20" s="21"/>
      <c r="OAE20" s="21"/>
      <c r="OAF20" s="21"/>
      <c r="OAG20" s="21"/>
      <c r="OAH20" s="21"/>
      <c r="OAI20" s="21"/>
      <c r="OAJ20" s="21"/>
      <c r="OAK20" s="21"/>
      <c r="OAL20" s="21"/>
      <c r="OAM20" s="21"/>
      <c r="OAN20" s="21"/>
      <c r="OAO20" s="21"/>
      <c r="OAP20" s="21"/>
      <c r="OAQ20" s="21"/>
      <c r="OAR20" s="21"/>
      <c r="OAS20" s="21"/>
      <c r="OAT20" s="21"/>
      <c r="OAU20" s="21"/>
      <c r="OAV20" s="21"/>
      <c r="OAW20" s="21"/>
      <c r="OAX20" s="21"/>
      <c r="OAY20" s="21"/>
      <c r="OAZ20" s="21"/>
      <c r="OBA20" s="21"/>
      <c r="OBB20" s="21"/>
      <c r="OBC20" s="21"/>
      <c r="OBD20" s="21"/>
      <c r="OBE20" s="21"/>
      <c r="OBF20" s="21"/>
      <c r="OBG20" s="21"/>
      <c r="OBH20" s="21"/>
      <c r="OBI20" s="21"/>
      <c r="OBJ20" s="21"/>
      <c r="OBK20" s="21"/>
      <c r="OBL20" s="21"/>
      <c r="OBM20" s="21"/>
      <c r="OBN20" s="21"/>
      <c r="OBO20" s="21"/>
      <c r="OBP20" s="21"/>
      <c r="OBQ20" s="21"/>
      <c r="OBR20" s="21"/>
      <c r="OBS20" s="21"/>
      <c r="OBT20" s="21"/>
      <c r="OBU20" s="21"/>
      <c r="OBV20" s="21"/>
      <c r="OBW20" s="21"/>
      <c r="OBX20" s="21"/>
      <c r="OBY20" s="21"/>
      <c r="OBZ20" s="21"/>
      <c r="OCA20" s="21"/>
      <c r="OCB20" s="21"/>
      <c r="OCC20" s="21"/>
      <c r="OCD20" s="21"/>
      <c r="OCE20" s="21"/>
      <c r="OCF20" s="21"/>
      <c r="OCG20" s="21"/>
      <c r="OCH20" s="21"/>
      <c r="OCI20" s="21"/>
      <c r="OCJ20" s="21"/>
      <c r="OCK20" s="21"/>
      <c r="OCL20" s="21"/>
      <c r="OCM20" s="21"/>
      <c r="OCN20" s="21"/>
      <c r="OCO20" s="21"/>
      <c r="OCP20" s="21"/>
      <c r="OCQ20" s="21"/>
      <c r="OCR20" s="21"/>
      <c r="OCS20" s="21"/>
      <c r="OCT20" s="21"/>
      <c r="OCU20" s="21"/>
      <c r="OCV20" s="21"/>
      <c r="OCW20" s="21"/>
      <c r="OCX20" s="21"/>
      <c r="OCY20" s="21"/>
      <c r="OCZ20" s="21"/>
      <c r="ODA20" s="21"/>
      <c r="ODB20" s="21"/>
      <c r="ODC20" s="21"/>
      <c r="ODD20" s="21"/>
      <c r="ODE20" s="21"/>
      <c r="ODF20" s="21"/>
      <c r="ODG20" s="21"/>
      <c r="ODH20" s="21"/>
      <c r="ODI20" s="21"/>
      <c r="ODJ20" s="21"/>
      <c r="ODK20" s="21"/>
      <c r="ODL20" s="21"/>
      <c r="ODM20" s="21"/>
      <c r="ODN20" s="21"/>
      <c r="ODO20" s="21"/>
      <c r="ODP20" s="21"/>
      <c r="ODQ20" s="21"/>
      <c r="ODR20" s="21"/>
      <c r="ODS20" s="21"/>
      <c r="ODT20" s="21"/>
      <c r="ODU20" s="21"/>
      <c r="ODV20" s="21"/>
      <c r="ODW20" s="21"/>
      <c r="ODX20" s="21"/>
      <c r="ODY20" s="21"/>
      <c r="ODZ20" s="21"/>
      <c r="OEA20" s="21"/>
      <c r="OEB20" s="21"/>
      <c r="OEC20" s="21"/>
      <c r="OED20" s="21"/>
      <c r="OEE20" s="21"/>
      <c r="OEF20" s="21"/>
      <c r="OEG20" s="21"/>
      <c r="OEH20" s="21"/>
      <c r="OEI20" s="21"/>
      <c r="OEJ20" s="21"/>
      <c r="OEK20" s="21"/>
      <c r="OEL20" s="21"/>
      <c r="OEM20" s="21"/>
      <c r="OEN20" s="21"/>
      <c r="OEO20" s="21"/>
      <c r="OEP20" s="21"/>
      <c r="OEQ20" s="21"/>
      <c r="OER20" s="21"/>
      <c r="OES20" s="21"/>
      <c r="OET20" s="21"/>
      <c r="OEU20" s="21"/>
      <c r="OEV20" s="21"/>
      <c r="OEW20" s="21"/>
      <c r="OEX20" s="21"/>
      <c r="OEY20" s="21"/>
      <c r="OEZ20" s="21"/>
      <c r="OFA20" s="21"/>
      <c r="OFB20" s="21"/>
      <c r="OFC20" s="21"/>
      <c r="OFD20" s="21"/>
      <c r="OFE20" s="21"/>
      <c r="OFF20" s="21"/>
      <c r="OFG20" s="21"/>
      <c r="OFH20" s="21"/>
      <c r="OFI20" s="21"/>
      <c r="OFJ20" s="21"/>
      <c r="OFK20" s="21"/>
      <c r="OFL20" s="21"/>
      <c r="OFM20" s="21"/>
      <c r="OFN20" s="21"/>
      <c r="OFO20" s="21"/>
      <c r="OFP20" s="21"/>
      <c r="OFQ20" s="21"/>
      <c r="OFR20" s="21"/>
      <c r="OFS20" s="21"/>
      <c r="OFT20" s="21"/>
      <c r="OFU20" s="21"/>
      <c r="OFV20" s="21"/>
      <c r="OFW20" s="21"/>
      <c r="OFX20" s="21"/>
      <c r="OFY20" s="21"/>
      <c r="OFZ20" s="21"/>
      <c r="OGA20" s="21"/>
      <c r="OGB20" s="21"/>
      <c r="OGC20" s="21"/>
      <c r="OGD20" s="21"/>
      <c r="OGE20" s="21"/>
      <c r="OGF20" s="21"/>
      <c r="OGG20" s="21"/>
      <c r="OGH20" s="21"/>
      <c r="OGI20" s="21"/>
      <c r="OGJ20" s="21"/>
      <c r="OGK20" s="21"/>
      <c r="OGL20" s="21"/>
      <c r="OGM20" s="21"/>
      <c r="OGN20" s="21"/>
      <c r="OGO20" s="21"/>
      <c r="OGP20" s="21"/>
      <c r="OGQ20" s="21"/>
      <c r="OGR20" s="21"/>
      <c r="OGS20" s="21"/>
      <c r="OGT20" s="21"/>
      <c r="OGU20" s="21"/>
      <c r="OGV20" s="21"/>
      <c r="OGW20" s="21"/>
      <c r="OGX20" s="21"/>
      <c r="OGY20" s="21"/>
      <c r="OGZ20" s="21"/>
      <c r="OHA20" s="21"/>
      <c r="OHB20" s="21"/>
      <c r="OHC20" s="21"/>
      <c r="OHD20" s="21"/>
      <c r="OHE20" s="21"/>
      <c r="OHF20" s="21"/>
      <c r="OHG20" s="21"/>
      <c r="OHH20" s="21"/>
      <c r="OHI20" s="21"/>
      <c r="OHJ20" s="21"/>
      <c r="OHK20" s="21"/>
      <c r="OHL20" s="21"/>
      <c r="OHM20" s="21"/>
      <c r="OHN20" s="21"/>
      <c r="OHO20" s="21"/>
      <c r="OHP20" s="21"/>
      <c r="OHQ20" s="21"/>
      <c r="OHR20" s="21"/>
      <c r="OHS20" s="21"/>
      <c r="OHT20" s="21"/>
      <c r="OHU20" s="21"/>
      <c r="OHV20" s="21"/>
      <c r="OHW20" s="21"/>
      <c r="OHX20" s="21"/>
      <c r="OHY20" s="21"/>
      <c r="OHZ20" s="21"/>
      <c r="OIA20" s="21"/>
      <c r="OIB20" s="21"/>
      <c r="OIC20" s="21"/>
      <c r="OID20" s="21"/>
      <c r="OIE20" s="21"/>
      <c r="OIF20" s="21"/>
      <c r="OIG20" s="21"/>
      <c r="OIH20" s="21"/>
      <c r="OII20" s="21"/>
      <c r="OIJ20" s="21"/>
      <c r="OIK20" s="21"/>
      <c r="OIL20" s="21"/>
      <c r="OIM20" s="21"/>
      <c r="OIN20" s="21"/>
      <c r="OIO20" s="21"/>
      <c r="OIP20" s="21"/>
      <c r="OIQ20" s="21"/>
      <c r="OIR20" s="21"/>
      <c r="OIS20" s="21"/>
      <c r="OIT20" s="21"/>
      <c r="OIU20" s="21"/>
      <c r="OIV20" s="21"/>
      <c r="OIW20" s="21"/>
      <c r="OIX20" s="21"/>
      <c r="OIY20" s="21"/>
      <c r="OIZ20" s="21"/>
      <c r="OJA20" s="21"/>
      <c r="OJB20" s="21"/>
      <c r="OJC20" s="21"/>
      <c r="OJD20" s="21"/>
      <c r="OJE20" s="21"/>
      <c r="OJF20" s="21"/>
      <c r="OJG20" s="21"/>
      <c r="OJH20" s="21"/>
      <c r="OJI20" s="21"/>
      <c r="OJJ20" s="21"/>
      <c r="OJK20" s="21"/>
      <c r="OJL20" s="21"/>
      <c r="OJM20" s="21"/>
      <c r="OJN20" s="21"/>
      <c r="OJO20" s="21"/>
      <c r="OJP20" s="21"/>
      <c r="OJQ20" s="21"/>
      <c r="OJR20" s="21"/>
      <c r="OJS20" s="21"/>
      <c r="OJT20" s="21"/>
      <c r="OJU20" s="21"/>
      <c r="OJV20" s="21"/>
      <c r="OJW20" s="21"/>
      <c r="OJX20" s="21"/>
      <c r="OJY20" s="21"/>
      <c r="OJZ20" s="21"/>
      <c r="OKA20" s="21"/>
      <c r="OKB20" s="21"/>
      <c r="OKC20" s="21"/>
      <c r="OKD20" s="21"/>
      <c r="OKE20" s="21"/>
      <c r="OKF20" s="21"/>
      <c r="OKG20" s="21"/>
      <c r="OKH20" s="21"/>
      <c r="OKI20" s="21"/>
      <c r="OKJ20" s="21"/>
      <c r="OKK20" s="21"/>
      <c r="OKL20" s="21"/>
      <c r="OKM20" s="21"/>
      <c r="OKN20" s="21"/>
      <c r="OKO20" s="21"/>
      <c r="OKP20" s="21"/>
      <c r="OKQ20" s="21"/>
      <c r="OKR20" s="21"/>
      <c r="OKS20" s="21"/>
      <c r="OKT20" s="21"/>
      <c r="OKU20" s="21"/>
      <c r="OKV20" s="21"/>
      <c r="OKW20" s="21"/>
      <c r="OKX20" s="21"/>
      <c r="OKY20" s="21"/>
      <c r="OKZ20" s="21"/>
      <c r="OLA20" s="21"/>
      <c r="OLB20" s="21"/>
      <c r="OLC20" s="21"/>
      <c r="OLD20" s="21"/>
      <c r="OLE20" s="21"/>
      <c r="OLF20" s="21"/>
      <c r="OLG20" s="21"/>
      <c r="OLH20" s="21"/>
      <c r="OLI20" s="21"/>
      <c r="OLJ20" s="21"/>
      <c r="OLK20" s="21"/>
      <c r="OLL20" s="21"/>
      <c r="OLM20" s="21"/>
      <c r="OLN20" s="21"/>
      <c r="OLO20" s="21"/>
      <c r="OLP20" s="21"/>
      <c r="OLQ20" s="21"/>
      <c r="OLR20" s="21"/>
      <c r="OLS20" s="21"/>
      <c r="OLT20" s="21"/>
      <c r="OLU20" s="21"/>
      <c r="OLV20" s="21"/>
      <c r="OLW20" s="21"/>
      <c r="OLX20" s="21"/>
      <c r="OLY20" s="21"/>
      <c r="OLZ20" s="21"/>
      <c r="OMA20" s="21"/>
      <c r="OMB20" s="21"/>
      <c r="OMC20" s="21"/>
      <c r="OMD20" s="21"/>
      <c r="OME20" s="21"/>
      <c r="OMF20" s="21"/>
      <c r="OMG20" s="21"/>
      <c r="OMH20" s="21"/>
      <c r="OMI20" s="21"/>
      <c r="OMJ20" s="21"/>
      <c r="OMK20" s="21"/>
      <c r="OML20" s="21"/>
      <c r="OMM20" s="21"/>
      <c r="OMN20" s="21"/>
      <c r="OMO20" s="21"/>
      <c r="OMP20" s="21"/>
      <c r="OMQ20" s="21"/>
      <c r="OMR20" s="21"/>
      <c r="OMS20" s="21"/>
      <c r="OMT20" s="21"/>
      <c r="OMU20" s="21"/>
      <c r="OMV20" s="21"/>
      <c r="OMW20" s="21"/>
      <c r="OMX20" s="21"/>
      <c r="OMY20" s="21"/>
      <c r="OMZ20" s="21"/>
      <c r="ONA20" s="21"/>
      <c r="ONB20" s="21"/>
      <c r="ONC20" s="21"/>
      <c r="OND20" s="21"/>
      <c r="ONE20" s="21"/>
      <c r="ONF20" s="21"/>
      <c r="ONG20" s="21"/>
      <c r="ONH20" s="21"/>
      <c r="ONI20" s="21"/>
      <c r="ONJ20" s="21"/>
      <c r="ONK20" s="21"/>
      <c r="ONL20" s="21"/>
      <c r="ONM20" s="21"/>
      <c r="ONN20" s="21"/>
      <c r="ONO20" s="21"/>
      <c r="ONP20" s="21"/>
      <c r="ONQ20" s="21"/>
      <c r="ONR20" s="21"/>
      <c r="ONS20" s="21"/>
      <c r="ONT20" s="21"/>
      <c r="ONU20" s="21"/>
      <c r="ONV20" s="21"/>
      <c r="ONW20" s="21"/>
      <c r="ONX20" s="21"/>
      <c r="ONY20" s="21"/>
      <c r="ONZ20" s="21"/>
      <c r="OOA20" s="21"/>
      <c r="OOB20" s="21"/>
      <c r="OOC20" s="21"/>
      <c r="OOD20" s="21"/>
      <c r="OOE20" s="21"/>
      <c r="OOF20" s="21"/>
      <c r="OOG20" s="21"/>
      <c r="OOH20" s="21"/>
      <c r="OOI20" s="21"/>
      <c r="OOJ20" s="21"/>
      <c r="OOK20" s="21"/>
      <c r="OOL20" s="21"/>
      <c r="OOM20" s="21"/>
      <c r="OON20" s="21"/>
      <c r="OOO20" s="21"/>
      <c r="OOP20" s="21"/>
      <c r="OOQ20" s="21"/>
      <c r="OOR20" s="21"/>
      <c r="OOS20" s="21"/>
      <c r="OOT20" s="21"/>
      <c r="OOU20" s="21"/>
      <c r="OOV20" s="21"/>
      <c r="OOW20" s="21"/>
      <c r="OOX20" s="21"/>
      <c r="OOY20" s="21"/>
      <c r="OOZ20" s="21"/>
      <c r="OPA20" s="21"/>
      <c r="OPB20" s="21"/>
      <c r="OPC20" s="21"/>
      <c r="OPD20" s="21"/>
      <c r="OPE20" s="21"/>
      <c r="OPF20" s="21"/>
      <c r="OPG20" s="21"/>
      <c r="OPH20" s="21"/>
      <c r="OPI20" s="21"/>
      <c r="OPJ20" s="21"/>
      <c r="OPK20" s="21"/>
      <c r="OPL20" s="21"/>
      <c r="OPM20" s="21"/>
      <c r="OPN20" s="21"/>
      <c r="OPO20" s="21"/>
      <c r="OPP20" s="21"/>
      <c r="OPQ20" s="21"/>
      <c r="OPR20" s="21"/>
      <c r="OPS20" s="21"/>
      <c r="OPT20" s="21"/>
      <c r="OPU20" s="21"/>
      <c r="OPV20" s="21"/>
      <c r="OPW20" s="21"/>
      <c r="OPX20" s="21"/>
      <c r="OPY20" s="21"/>
      <c r="OPZ20" s="21"/>
      <c r="OQA20" s="21"/>
      <c r="OQB20" s="21"/>
      <c r="OQC20" s="21"/>
      <c r="OQD20" s="21"/>
      <c r="OQE20" s="21"/>
      <c r="OQF20" s="21"/>
      <c r="OQG20" s="21"/>
      <c r="OQH20" s="21"/>
      <c r="OQI20" s="21"/>
      <c r="OQJ20" s="21"/>
      <c r="OQK20" s="21"/>
      <c r="OQL20" s="21"/>
      <c r="OQM20" s="21"/>
      <c r="OQN20" s="21"/>
      <c r="OQO20" s="21"/>
      <c r="OQP20" s="21"/>
      <c r="OQQ20" s="21"/>
      <c r="OQR20" s="21"/>
      <c r="OQS20" s="21"/>
      <c r="OQT20" s="21"/>
      <c r="OQU20" s="21"/>
      <c r="OQV20" s="21"/>
      <c r="OQW20" s="21"/>
      <c r="OQX20" s="21"/>
      <c r="OQY20" s="21"/>
      <c r="OQZ20" s="21"/>
      <c r="ORA20" s="21"/>
      <c r="ORB20" s="21"/>
      <c r="ORC20" s="21"/>
      <c r="ORD20" s="21"/>
      <c r="ORE20" s="21"/>
      <c r="ORF20" s="21"/>
      <c r="ORG20" s="21"/>
      <c r="ORH20" s="21"/>
      <c r="ORI20" s="21"/>
      <c r="ORJ20" s="21"/>
      <c r="ORK20" s="21"/>
      <c r="ORL20" s="21"/>
      <c r="ORM20" s="21"/>
      <c r="ORN20" s="21"/>
      <c r="ORO20" s="21"/>
      <c r="ORP20" s="21"/>
      <c r="ORQ20" s="21"/>
      <c r="ORR20" s="21"/>
      <c r="ORS20" s="21"/>
      <c r="ORT20" s="21"/>
      <c r="ORU20" s="21"/>
      <c r="ORV20" s="21"/>
      <c r="ORW20" s="21"/>
      <c r="ORX20" s="21"/>
      <c r="ORY20" s="21"/>
      <c r="ORZ20" s="21"/>
      <c r="OSA20" s="21"/>
      <c r="OSB20" s="21"/>
      <c r="OSC20" s="21"/>
      <c r="OSD20" s="21"/>
      <c r="OSE20" s="21"/>
      <c r="OSF20" s="21"/>
      <c r="OSG20" s="21"/>
      <c r="OSH20" s="21"/>
      <c r="OSI20" s="21"/>
      <c r="OSJ20" s="21"/>
      <c r="OSK20" s="21"/>
      <c r="OSL20" s="21"/>
      <c r="OSM20" s="21"/>
      <c r="OSN20" s="21"/>
      <c r="OSO20" s="21"/>
      <c r="OSP20" s="21"/>
      <c r="OSQ20" s="21"/>
      <c r="OSR20" s="21"/>
      <c r="OSS20" s="21"/>
      <c r="OST20" s="21"/>
      <c r="OSU20" s="21"/>
      <c r="OSV20" s="21"/>
      <c r="OSW20" s="21"/>
      <c r="OSX20" s="21"/>
      <c r="OSY20" s="21"/>
      <c r="OSZ20" s="21"/>
      <c r="OTA20" s="21"/>
      <c r="OTB20" s="21"/>
      <c r="OTC20" s="21"/>
      <c r="OTD20" s="21"/>
      <c r="OTE20" s="21"/>
      <c r="OTF20" s="21"/>
      <c r="OTG20" s="21"/>
      <c r="OTH20" s="21"/>
      <c r="OTI20" s="21"/>
      <c r="OTJ20" s="21"/>
      <c r="OTK20" s="21"/>
      <c r="OTL20" s="21"/>
      <c r="OTM20" s="21"/>
      <c r="OTN20" s="21"/>
      <c r="OTO20" s="21"/>
      <c r="OTP20" s="21"/>
      <c r="OTQ20" s="21"/>
      <c r="OTR20" s="21"/>
      <c r="OTS20" s="21"/>
      <c r="OTT20" s="21"/>
      <c r="OTU20" s="21"/>
      <c r="OTV20" s="21"/>
      <c r="OTW20" s="21"/>
      <c r="OTX20" s="21"/>
      <c r="OTY20" s="21"/>
      <c r="OTZ20" s="21"/>
      <c r="OUA20" s="21"/>
      <c r="OUB20" s="21"/>
      <c r="OUC20" s="21"/>
      <c r="OUD20" s="21"/>
      <c r="OUE20" s="21"/>
      <c r="OUF20" s="21"/>
      <c r="OUG20" s="21"/>
      <c r="OUH20" s="21"/>
      <c r="OUI20" s="21"/>
      <c r="OUJ20" s="21"/>
      <c r="OUK20" s="21"/>
      <c r="OUL20" s="21"/>
      <c r="OUM20" s="21"/>
      <c r="OUN20" s="21"/>
      <c r="OUO20" s="21"/>
      <c r="OUP20" s="21"/>
      <c r="OUQ20" s="21"/>
      <c r="OUR20" s="21"/>
      <c r="OUS20" s="21"/>
      <c r="OUT20" s="21"/>
      <c r="OUU20" s="21"/>
      <c r="OUV20" s="21"/>
      <c r="OUW20" s="21"/>
      <c r="OUX20" s="21"/>
      <c r="OUY20" s="21"/>
      <c r="OUZ20" s="21"/>
      <c r="OVA20" s="21"/>
      <c r="OVB20" s="21"/>
      <c r="OVC20" s="21"/>
      <c r="OVD20" s="21"/>
      <c r="OVE20" s="21"/>
      <c r="OVF20" s="21"/>
      <c r="OVG20" s="21"/>
      <c r="OVH20" s="21"/>
      <c r="OVI20" s="21"/>
      <c r="OVJ20" s="21"/>
      <c r="OVK20" s="21"/>
      <c r="OVL20" s="21"/>
      <c r="OVM20" s="21"/>
      <c r="OVN20" s="21"/>
      <c r="OVO20" s="21"/>
      <c r="OVP20" s="21"/>
      <c r="OVQ20" s="21"/>
      <c r="OVR20" s="21"/>
      <c r="OVS20" s="21"/>
      <c r="OVT20" s="21"/>
      <c r="OVU20" s="21"/>
      <c r="OVV20" s="21"/>
      <c r="OVW20" s="21"/>
      <c r="OVX20" s="21"/>
      <c r="OVY20" s="21"/>
      <c r="OVZ20" s="21"/>
      <c r="OWA20" s="21"/>
      <c r="OWB20" s="21"/>
      <c r="OWC20" s="21"/>
      <c r="OWD20" s="21"/>
      <c r="OWE20" s="21"/>
      <c r="OWF20" s="21"/>
      <c r="OWG20" s="21"/>
      <c r="OWH20" s="21"/>
      <c r="OWI20" s="21"/>
      <c r="OWJ20" s="21"/>
      <c r="OWK20" s="21"/>
      <c r="OWL20" s="21"/>
      <c r="OWM20" s="21"/>
      <c r="OWN20" s="21"/>
      <c r="OWO20" s="21"/>
      <c r="OWP20" s="21"/>
      <c r="OWQ20" s="21"/>
      <c r="OWR20" s="21"/>
      <c r="OWS20" s="21"/>
      <c r="OWT20" s="21"/>
      <c r="OWU20" s="21"/>
      <c r="OWV20" s="21"/>
      <c r="OWW20" s="21"/>
      <c r="OWX20" s="21"/>
      <c r="OWY20" s="21"/>
      <c r="OWZ20" s="21"/>
      <c r="OXA20" s="21"/>
      <c r="OXB20" s="21"/>
      <c r="OXC20" s="21"/>
      <c r="OXD20" s="21"/>
      <c r="OXE20" s="21"/>
      <c r="OXF20" s="21"/>
      <c r="OXG20" s="21"/>
      <c r="OXH20" s="21"/>
      <c r="OXI20" s="21"/>
      <c r="OXJ20" s="21"/>
      <c r="OXK20" s="21"/>
      <c r="OXL20" s="21"/>
      <c r="OXM20" s="21"/>
      <c r="OXN20" s="21"/>
      <c r="OXO20" s="21"/>
      <c r="OXP20" s="21"/>
      <c r="OXQ20" s="21"/>
      <c r="OXR20" s="21"/>
      <c r="OXS20" s="21"/>
      <c r="OXT20" s="21"/>
      <c r="OXU20" s="21"/>
      <c r="OXV20" s="21"/>
      <c r="OXW20" s="21"/>
      <c r="OXX20" s="21"/>
      <c r="OXY20" s="21"/>
      <c r="OXZ20" s="21"/>
      <c r="OYA20" s="21"/>
      <c r="OYB20" s="21"/>
      <c r="OYC20" s="21"/>
      <c r="OYD20" s="21"/>
      <c r="OYE20" s="21"/>
      <c r="OYF20" s="21"/>
      <c r="OYG20" s="21"/>
      <c r="OYH20" s="21"/>
      <c r="OYI20" s="21"/>
      <c r="OYJ20" s="21"/>
      <c r="OYK20" s="21"/>
      <c r="OYL20" s="21"/>
      <c r="OYM20" s="21"/>
      <c r="OYN20" s="21"/>
      <c r="OYO20" s="21"/>
      <c r="OYP20" s="21"/>
      <c r="OYQ20" s="21"/>
      <c r="OYR20" s="21"/>
      <c r="OYS20" s="21"/>
      <c r="OYT20" s="21"/>
      <c r="OYU20" s="21"/>
      <c r="OYV20" s="21"/>
      <c r="OYW20" s="21"/>
      <c r="OYX20" s="21"/>
      <c r="OYY20" s="21"/>
      <c r="OYZ20" s="21"/>
      <c r="OZA20" s="21"/>
      <c r="OZB20" s="21"/>
      <c r="OZC20" s="21"/>
      <c r="OZD20" s="21"/>
      <c r="OZE20" s="21"/>
      <c r="OZF20" s="21"/>
      <c r="OZG20" s="21"/>
      <c r="OZH20" s="21"/>
      <c r="OZI20" s="21"/>
      <c r="OZJ20" s="21"/>
      <c r="OZK20" s="21"/>
      <c r="OZL20" s="21"/>
      <c r="OZM20" s="21"/>
      <c r="OZN20" s="21"/>
      <c r="OZO20" s="21"/>
      <c r="OZP20" s="21"/>
      <c r="OZQ20" s="21"/>
      <c r="OZR20" s="21"/>
      <c r="OZS20" s="21"/>
      <c r="OZT20" s="21"/>
      <c r="OZU20" s="21"/>
      <c r="OZV20" s="21"/>
      <c r="OZW20" s="21"/>
      <c r="OZX20" s="21"/>
      <c r="OZY20" s="21"/>
      <c r="OZZ20" s="21"/>
      <c r="PAA20" s="21"/>
      <c r="PAB20" s="21"/>
      <c r="PAC20" s="21"/>
      <c r="PAD20" s="21"/>
      <c r="PAE20" s="21"/>
      <c r="PAF20" s="21"/>
      <c r="PAG20" s="21"/>
      <c r="PAH20" s="21"/>
      <c r="PAI20" s="21"/>
      <c r="PAJ20" s="21"/>
      <c r="PAK20" s="21"/>
      <c r="PAL20" s="21"/>
      <c r="PAM20" s="21"/>
      <c r="PAN20" s="21"/>
      <c r="PAO20" s="21"/>
      <c r="PAP20" s="21"/>
      <c r="PAQ20" s="21"/>
      <c r="PAR20" s="21"/>
      <c r="PAS20" s="21"/>
      <c r="PAT20" s="21"/>
      <c r="PAU20" s="21"/>
      <c r="PAV20" s="21"/>
      <c r="PAW20" s="21"/>
      <c r="PAX20" s="21"/>
      <c r="PAY20" s="21"/>
      <c r="PAZ20" s="21"/>
      <c r="PBA20" s="21"/>
      <c r="PBB20" s="21"/>
      <c r="PBC20" s="21"/>
      <c r="PBD20" s="21"/>
      <c r="PBE20" s="21"/>
      <c r="PBF20" s="21"/>
      <c r="PBG20" s="21"/>
      <c r="PBH20" s="21"/>
      <c r="PBI20" s="21"/>
      <c r="PBJ20" s="21"/>
      <c r="PBK20" s="21"/>
      <c r="PBL20" s="21"/>
      <c r="PBM20" s="21"/>
      <c r="PBN20" s="21"/>
      <c r="PBO20" s="21"/>
      <c r="PBP20" s="21"/>
      <c r="PBQ20" s="21"/>
      <c r="PBR20" s="21"/>
      <c r="PBS20" s="21"/>
      <c r="PBT20" s="21"/>
      <c r="PBU20" s="21"/>
      <c r="PBV20" s="21"/>
      <c r="PBW20" s="21"/>
      <c r="PBX20" s="21"/>
      <c r="PBY20" s="21"/>
      <c r="PBZ20" s="21"/>
      <c r="PCA20" s="21"/>
      <c r="PCB20" s="21"/>
      <c r="PCC20" s="21"/>
      <c r="PCD20" s="21"/>
      <c r="PCE20" s="21"/>
      <c r="PCF20" s="21"/>
      <c r="PCG20" s="21"/>
      <c r="PCH20" s="21"/>
      <c r="PCI20" s="21"/>
      <c r="PCJ20" s="21"/>
      <c r="PCK20" s="21"/>
      <c r="PCL20" s="21"/>
      <c r="PCM20" s="21"/>
      <c r="PCN20" s="21"/>
      <c r="PCO20" s="21"/>
      <c r="PCP20" s="21"/>
      <c r="PCQ20" s="21"/>
      <c r="PCR20" s="21"/>
      <c r="PCS20" s="21"/>
      <c r="PCT20" s="21"/>
      <c r="PCU20" s="21"/>
      <c r="PCV20" s="21"/>
      <c r="PCW20" s="21"/>
      <c r="PCX20" s="21"/>
      <c r="PCY20" s="21"/>
      <c r="PCZ20" s="21"/>
      <c r="PDA20" s="21"/>
      <c r="PDB20" s="21"/>
      <c r="PDC20" s="21"/>
      <c r="PDD20" s="21"/>
      <c r="PDE20" s="21"/>
      <c r="PDF20" s="21"/>
      <c r="PDG20" s="21"/>
      <c r="PDH20" s="21"/>
      <c r="PDI20" s="21"/>
      <c r="PDJ20" s="21"/>
      <c r="PDK20" s="21"/>
      <c r="PDL20" s="21"/>
      <c r="PDM20" s="21"/>
      <c r="PDN20" s="21"/>
      <c r="PDO20" s="21"/>
      <c r="PDP20" s="21"/>
      <c r="PDQ20" s="21"/>
      <c r="PDR20" s="21"/>
      <c r="PDS20" s="21"/>
      <c r="PDT20" s="21"/>
      <c r="PDU20" s="21"/>
      <c r="PDV20" s="21"/>
      <c r="PDW20" s="21"/>
      <c r="PDX20" s="21"/>
      <c r="PDY20" s="21"/>
      <c r="PDZ20" s="21"/>
      <c r="PEA20" s="21"/>
      <c r="PEB20" s="21"/>
      <c r="PEC20" s="21"/>
      <c r="PED20" s="21"/>
      <c r="PEE20" s="21"/>
      <c r="PEF20" s="21"/>
      <c r="PEG20" s="21"/>
      <c r="PEH20" s="21"/>
      <c r="PEI20" s="21"/>
      <c r="PEJ20" s="21"/>
      <c r="PEK20" s="21"/>
      <c r="PEL20" s="21"/>
      <c r="PEM20" s="21"/>
      <c r="PEN20" s="21"/>
      <c r="PEO20" s="21"/>
      <c r="PEP20" s="21"/>
      <c r="PEQ20" s="21"/>
      <c r="PER20" s="21"/>
      <c r="PES20" s="21"/>
      <c r="PET20" s="21"/>
      <c r="PEU20" s="21"/>
      <c r="PEV20" s="21"/>
      <c r="PEW20" s="21"/>
      <c r="PEX20" s="21"/>
      <c r="PEY20" s="21"/>
      <c r="PEZ20" s="21"/>
      <c r="PFA20" s="21"/>
      <c r="PFB20" s="21"/>
      <c r="PFC20" s="21"/>
      <c r="PFD20" s="21"/>
      <c r="PFE20" s="21"/>
      <c r="PFF20" s="21"/>
      <c r="PFG20" s="21"/>
      <c r="PFH20" s="21"/>
      <c r="PFI20" s="21"/>
      <c r="PFJ20" s="21"/>
      <c r="PFK20" s="21"/>
      <c r="PFL20" s="21"/>
      <c r="PFM20" s="21"/>
      <c r="PFN20" s="21"/>
      <c r="PFO20" s="21"/>
      <c r="PFP20" s="21"/>
      <c r="PFQ20" s="21"/>
      <c r="PFR20" s="21"/>
      <c r="PFS20" s="21"/>
      <c r="PFT20" s="21"/>
      <c r="PFU20" s="21"/>
      <c r="PFV20" s="21"/>
      <c r="PFW20" s="21"/>
      <c r="PFX20" s="21"/>
      <c r="PFY20" s="21"/>
      <c r="PFZ20" s="21"/>
      <c r="PGA20" s="21"/>
      <c r="PGB20" s="21"/>
      <c r="PGC20" s="21"/>
      <c r="PGD20" s="21"/>
      <c r="PGE20" s="21"/>
      <c r="PGF20" s="21"/>
      <c r="PGG20" s="21"/>
      <c r="PGH20" s="21"/>
      <c r="PGI20" s="21"/>
      <c r="PGJ20" s="21"/>
      <c r="PGK20" s="21"/>
      <c r="PGL20" s="21"/>
      <c r="PGM20" s="21"/>
      <c r="PGN20" s="21"/>
      <c r="PGO20" s="21"/>
      <c r="PGP20" s="21"/>
      <c r="PGQ20" s="21"/>
      <c r="PGR20" s="21"/>
      <c r="PGS20" s="21"/>
      <c r="PGT20" s="21"/>
      <c r="PGU20" s="21"/>
      <c r="PGV20" s="21"/>
      <c r="PGW20" s="21"/>
      <c r="PGX20" s="21"/>
      <c r="PGY20" s="21"/>
      <c r="PGZ20" s="21"/>
      <c r="PHA20" s="21"/>
      <c r="PHB20" s="21"/>
      <c r="PHC20" s="21"/>
      <c r="PHD20" s="21"/>
      <c r="PHE20" s="21"/>
      <c r="PHF20" s="21"/>
      <c r="PHG20" s="21"/>
      <c r="PHH20" s="21"/>
      <c r="PHI20" s="21"/>
      <c r="PHJ20" s="21"/>
      <c r="PHK20" s="21"/>
      <c r="PHL20" s="21"/>
      <c r="PHM20" s="21"/>
      <c r="PHN20" s="21"/>
      <c r="PHO20" s="21"/>
      <c r="PHP20" s="21"/>
      <c r="PHQ20" s="21"/>
      <c r="PHR20" s="21"/>
      <c r="PHS20" s="21"/>
      <c r="PHT20" s="21"/>
      <c r="PHU20" s="21"/>
      <c r="PHV20" s="21"/>
      <c r="PHW20" s="21"/>
      <c r="PHX20" s="21"/>
      <c r="PHY20" s="21"/>
      <c r="PHZ20" s="21"/>
      <c r="PIA20" s="21"/>
      <c r="PIB20" s="21"/>
      <c r="PIC20" s="21"/>
      <c r="PID20" s="21"/>
      <c r="PIE20" s="21"/>
      <c r="PIF20" s="21"/>
      <c r="PIG20" s="21"/>
      <c r="PIH20" s="21"/>
      <c r="PII20" s="21"/>
      <c r="PIJ20" s="21"/>
      <c r="PIK20" s="21"/>
      <c r="PIL20" s="21"/>
      <c r="PIM20" s="21"/>
      <c r="PIN20" s="21"/>
      <c r="PIO20" s="21"/>
      <c r="PIP20" s="21"/>
      <c r="PIQ20" s="21"/>
      <c r="PIR20" s="21"/>
      <c r="PIS20" s="21"/>
      <c r="PIT20" s="21"/>
      <c r="PIU20" s="21"/>
      <c r="PIV20" s="21"/>
      <c r="PIW20" s="21"/>
      <c r="PIX20" s="21"/>
      <c r="PIY20" s="21"/>
      <c r="PIZ20" s="21"/>
      <c r="PJA20" s="21"/>
      <c r="PJB20" s="21"/>
      <c r="PJC20" s="21"/>
      <c r="PJD20" s="21"/>
      <c r="PJE20" s="21"/>
      <c r="PJF20" s="21"/>
      <c r="PJG20" s="21"/>
      <c r="PJH20" s="21"/>
      <c r="PJI20" s="21"/>
      <c r="PJJ20" s="21"/>
      <c r="PJK20" s="21"/>
      <c r="PJL20" s="21"/>
      <c r="PJM20" s="21"/>
      <c r="PJN20" s="21"/>
      <c r="PJO20" s="21"/>
      <c r="PJP20" s="21"/>
      <c r="PJQ20" s="21"/>
      <c r="PJR20" s="21"/>
      <c r="PJS20" s="21"/>
      <c r="PJT20" s="21"/>
      <c r="PJU20" s="21"/>
      <c r="PJV20" s="21"/>
      <c r="PJW20" s="21"/>
      <c r="PJX20" s="21"/>
      <c r="PJY20" s="21"/>
      <c r="PJZ20" s="21"/>
      <c r="PKA20" s="21"/>
      <c r="PKB20" s="21"/>
      <c r="PKC20" s="21"/>
      <c r="PKD20" s="21"/>
      <c r="PKE20" s="21"/>
      <c r="PKF20" s="21"/>
      <c r="PKG20" s="21"/>
      <c r="PKH20" s="21"/>
      <c r="PKI20" s="21"/>
      <c r="PKJ20" s="21"/>
      <c r="PKK20" s="21"/>
      <c r="PKL20" s="21"/>
      <c r="PKM20" s="21"/>
      <c r="PKN20" s="21"/>
      <c r="PKO20" s="21"/>
      <c r="PKP20" s="21"/>
      <c r="PKQ20" s="21"/>
      <c r="PKR20" s="21"/>
      <c r="PKS20" s="21"/>
      <c r="PKT20" s="21"/>
      <c r="PKU20" s="21"/>
      <c r="PKV20" s="21"/>
      <c r="PKW20" s="21"/>
      <c r="PKX20" s="21"/>
      <c r="PKY20" s="21"/>
      <c r="PKZ20" s="21"/>
      <c r="PLA20" s="21"/>
      <c r="PLB20" s="21"/>
      <c r="PLC20" s="21"/>
      <c r="PLD20" s="21"/>
      <c r="PLE20" s="21"/>
      <c r="PLF20" s="21"/>
      <c r="PLG20" s="21"/>
      <c r="PLH20" s="21"/>
      <c r="PLI20" s="21"/>
      <c r="PLJ20" s="21"/>
      <c r="PLK20" s="21"/>
      <c r="PLL20" s="21"/>
      <c r="PLM20" s="21"/>
      <c r="PLN20" s="21"/>
      <c r="PLO20" s="21"/>
      <c r="PLP20" s="21"/>
      <c r="PLQ20" s="21"/>
      <c r="PLR20" s="21"/>
      <c r="PLS20" s="21"/>
      <c r="PLT20" s="21"/>
      <c r="PLU20" s="21"/>
      <c r="PLV20" s="21"/>
      <c r="PLW20" s="21"/>
      <c r="PLX20" s="21"/>
      <c r="PLY20" s="21"/>
      <c r="PLZ20" s="21"/>
      <c r="PMA20" s="21"/>
      <c r="PMB20" s="21"/>
      <c r="PMC20" s="21"/>
      <c r="PMD20" s="21"/>
      <c r="PME20" s="21"/>
      <c r="PMF20" s="21"/>
      <c r="PMG20" s="21"/>
      <c r="PMH20" s="21"/>
      <c r="PMI20" s="21"/>
      <c r="PMJ20" s="21"/>
      <c r="PMK20" s="21"/>
      <c r="PML20" s="21"/>
      <c r="PMM20" s="21"/>
      <c r="PMN20" s="21"/>
      <c r="PMO20" s="21"/>
      <c r="PMP20" s="21"/>
      <c r="PMQ20" s="21"/>
      <c r="PMR20" s="21"/>
      <c r="PMS20" s="21"/>
      <c r="PMT20" s="21"/>
      <c r="PMU20" s="21"/>
      <c r="PMV20" s="21"/>
      <c r="PMW20" s="21"/>
      <c r="PMX20" s="21"/>
      <c r="PMY20" s="21"/>
      <c r="PMZ20" s="21"/>
      <c r="PNA20" s="21"/>
      <c r="PNB20" s="21"/>
      <c r="PNC20" s="21"/>
      <c r="PND20" s="21"/>
      <c r="PNE20" s="21"/>
      <c r="PNF20" s="21"/>
      <c r="PNG20" s="21"/>
      <c r="PNH20" s="21"/>
      <c r="PNI20" s="21"/>
      <c r="PNJ20" s="21"/>
      <c r="PNK20" s="21"/>
      <c r="PNL20" s="21"/>
      <c r="PNM20" s="21"/>
      <c r="PNN20" s="21"/>
      <c r="PNO20" s="21"/>
      <c r="PNP20" s="21"/>
      <c r="PNQ20" s="21"/>
      <c r="PNR20" s="21"/>
      <c r="PNS20" s="21"/>
      <c r="PNT20" s="21"/>
      <c r="PNU20" s="21"/>
      <c r="PNV20" s="21"/>
      <c r="PNW20" s="21"/>
      <c r="PNX20" s="21"/>
      <c r="PNY20" s="21"/>
      <c r="PNZ20" s="21"/>
      <c r="POA20" s="21"/>
      <c r="POB20" s="21"/>
      <c r="POC20" s="21"/>
      <c r="POD20" s="21"/>
      <c r="POE20" s="21"/>
      <c r="POF20" s="21"/>
      <c r="POG20" s="21"/>
      <c r="POH20" s="21"/>
      <c r="POI20" s="21"/>
      <c r="POJ20" s="21"/>
      <c r="POK20" s="21"/>
      <c r="POL20" s="21"/>
      <c r="POM20" s="21"/>
      <c r="PON20" s="21"/>
      <c r="POO20" s="21"/>
      <c r="POP20" s="21"/>
      <c r="POQ20" s="21"/>
      <c r="POR20" s="21"/>
      <c r="POS20" s="21"/>
      <c r="POT20" s="21"/>
      <c r="POU20" s="21"/>
      <c r="POV20" s="21"/>
      <c r="POW20" s="21"/>
      <c r="POX20" s="21"/>
      <c r="POY20" s="21"/>
      <c r="POZ20" s="21"/>
      <c r="PPA20" s="21"/>
      <c r="PPB20" s="21"/>
      <c r="PPC20" s="21"/>
      <c r="PPD20" s="21"/>
      <c r="PPE20" s="21"/>
      <c r="PPF20" s="21"/>
      <c r="PPG20" s="21"/>
      <c r="PPH20" s="21"/>
      <c r="PPI20" s="21"/>
      <c r="PPJ20" s="21"/>
      <c r="PPK20" s="21"/>
      <c r="PPL20" s="21"/>
      <c r="PPM20" s="21"/>
      <c r="PPN20" s="21"/>
      <c r="PPO20" s="21"/>
      <c r="PPP20" s="21"/>
      <c r="PPQ20" s="21"/>
      <c r="PPR20" s="21"/>
      <c r="PPS20" s="21"/>
      <c r="PPT20" s="21"/>
      <c r="PPU20" s="21"/>
      <c r="PPV20" s="21"/>
      <c r="PPW20" s="21"/>
      <c r="PPX20" s="21"/>
      <c r="PPY20" s="21"/>
      <c r="PPZ20" s="21"/>
      <c r="PQA20" s="21"/>
      <c r="PQB20" s="21"/>
      <c r="PQC20" s="21"/>
      <c r="PQD20" s="21"/>
      <c r="PQE20" s="21"/>
      <c r="PQF20" s="21"/>
      <c r="PQG20" s="21"/>
      <c r="PQH20" s="21"/>
      <c r="PQI20" s="21"/>
      <c r="PQJ20" s="21"/>
      <c r="PQK20" s="21"/>
      <c r="PQL20" s="21"/>
      <c r="PQM20" s="21"/>
      <c r="PQN20" s="21"/>
      <c r="PQO20" s="21"/>
      <c r="PQP20" s="21"/>
      <c r="PQQ20" s="21"/>
      <c r="PQR20" s="21"/>
      <c r="PQS20" s="21"/>
      <c r="PQT20" s="21"/>
      <c r="PQU20" s="21"/>
      <c r="PQV20" s="21"/>
      <c r="PQW20" s="21"/>
      <c r="PQX20" s="21"/>
      <c r="PQY20" s="21"/>
      <c r="PQZ20" s="21"/>
      <c r="PRA20" s="21"/>
      <c r="PRB20" s="21"/>
      <c r="PRC20" s="21"/>
      <c r="PRD20" s="21"/>
      <c r="PRE20" s="21"/>
      <c r="PRF20" s="21"/>
      <c r="PRG20" s="21"/>
      <c r="PRH20" s="21"/>
      <c r="PRI20" s="21"/>
      <c r="PRJ20" s="21"/>
      <c r="PRK20" s="21"/>
      <c r="PRL20" s="21"/>
      <c r="PRM20" s="21"/>
      <c r="PRN20" s="21"/>
      <c r="PRO20" s="21"/>
      <c r="PRP20" s="21"/>
      <c r="PRQ20" s="21"/>
      <c r="PRR20" s="21"/>
      <c r="PRS20" s="21"/>
      <c r="PRT20" s="21"/>
      <c r="PRU20" s="21"/>
      <c r="PRV20" s="21"/>
      <c r="PRW20" s="21"/>
      <c r="PRX20" s="21"/>
      <c r="PRY20" s="21"/>
      <c r="PRZ20" s="21"/>
      <c r="PSA20" s="21"/>
      <c r="PSB20" s="21"/>
      <c r="PSC20" s="21"/>
      <c r="PSD20" s="21"/>
      <c r="PSE20" s="21"/>
      <c r="PSF20" s="21"/>
      <c r="PSG20" s="21"/>
      <c r="PSH20" s="21"/>
      <c r="PSI20" s="21"/>
      <c r="PSJ20" s="21"/>
      <c r="PSK20" s="21"/>
      <c r="PSL20" s="21"/>
      <c r="PSM20" s="21"/>
      <c r="PSN20" s="21"/>
      <c r="PSO20" s="21"/>
      <c r="PSP20" s="21"/>
      <c r="PSQ20" s="21"/>
      <c r="PSR20" s="21"/>
      <c r="PSS20" s="21"/>
      <c r="PST20" s="21"/>
      <c r="PSU20" s="21"/>
      <c r="PSV20" s="21"/>
      <c r="PSW20" s="21"/>
      <c r="PSX20" s="21"/>
      <c r="PSY20" s="21"/>
      <c r="PSZ20" s="21"/>
      <c r="PTA20" s="21"/>
      <c r="PTB20" s="21"/>
      <c r="PTC20" s="21"/>
      <c r="PTD20" s="21"/>
      <c r="PTE20" s="21"/>
      <c r="PTF20" s="21"/>
      <c r="PTG20" s="21"/>
      <c r="PTH20" s="21"/>
      <c r="PTI20" s="21"/>
      <c r="PTJ20" s="21"/>
      <c r="PTK20" s="21"/>
      <c r="PTL20" s="21"/>
      <c r="PTM20" s="21"/>
      <c r="PTN20" s="21"/>
      <c r="PTO20" s="21"/>
      <c r="PTP20" s="21"/>
      <c r="PTQ20" s="21"/>
      <c r="PTR20" s="21"/>
      <c r="PTS20" s="21"/>
      <c r="PTT20" s="21"/>
      <c r="PTU20" s="21"/>
      <c r="PTV20" s="21"/>
      <c r="PTW20" s="21"/>
      <c r="PTX20" s="21"/>
      <c r="PTY20" s="21"/>
      <c r="PTZ20" s="21"/>
      <c r="PUA20" s="21"/>
      <c r="PUB20" s="21"/>
      <c r="PUC20" s="21"/>
      <c r="PUD20" s="21"/>
      <c r="PUE20" s="21"/>
      <c r="PUF20" s="21"/>
      <c r="PUG20" s="21"/>
      <c r="PUH20" s="21"/>
      <c r="PUI20" s="21"/>
      <c r="PUJ20" s="21"/>
      <c r="PUK20" s="21"/>
      <c r="PUL20" s="21"/>
      <c r="PUM20" s="21"/>
      <c r="PUN20" s="21"/>
      <c r="PUO20" s="21"/>
      <c r="PUP20" s="21"/>
      <c r="PUQ20" s="21"/>
      <c r="PUR20" s="21"/>
      <c r="PUS20" s="21"/>
      <c r="PUT20" s="21"/>
      <c r="PUU20" s="21"/>
      <c r="PUV20" s="21"/>
      <c r="PUW20" s="21"/>
      <c r="PUX20" s="21"/>
      <c r="PUY20" s="21"/>
      <c r="PUZ20" s="21"/>
      <c r="PVA20" s="21"/>
      <c r="PVB20" s="21"/>
      <c r="PVC20" s="21"/>
      <c r="PVD20" s="21"/>
      <c r="PVE20" s="21"/>
      <c r="PVF20" s="21"/>
      <c r="PVG20" s="21"/>
      <c r="PVH20" s="21"/>
      <c r="PVI20" s="21"/>
      <c r="PVJ20" s="21"/>
      <c r="PVK20" s="21"/>
      <c r="PVL20" s="21"/>
      <c r="PVM20" s="21"/>
      <c r="PVN20" s="21"/>
      <c r="PVO20" s="21"/>
      <c r="PVP20" s="21"/>
      <c r="PVQ20" s="21"/>
      <c r="PVR20" s="21"/>
      <c r="PVS20" s="21"/>
      <c r="PVT20" s="21"/>
      <c r="PVU20" s="21"/>
      <c r="PVV20" s="21"/>
      <c r="PVW20" s="21"/>
      <c r="PVX20" s="21"/>
      <c r="PVY20" s="21"/>
      <c r="PVZ20" s="21"/>
      <c r="PWA20" s="21"/>
      <c r="PWB20" s="21"/>
      <c r="PWC20" s="21"/>
      <c r="PWD20" s="21"/>
      <c r="PWE20" s="21"/>
      <c r="PWF20" s="21"/>
      <c r="PWG20" s="21"/>
      <c r="PWH20" s="21"/>
      <c r="PWI20" s="21"/>
      <c r="PWJ20" s="21"/>
      <c r="PWK20" s="21"/>
      <c r="PWL20" s="21"/>
      <c r="PWM20" s="21"/>
      <c r="PWN20" s="21"/>
      <c r="PWO20" s="21"/>
      <c r="PWP20" s="21"/>
      <c r="PWQ20" s="21"/>
      <c r="PWR20" s="21"/>
      <c r="PWS20" s="21"/>
      <c r="PWT20" s="21"/>
      <c r="PWU20" s="21"/>
      <c r="PWV20" s="21"/>
      <c r="PWW20" s="21"/>
      <c r="PWX20" s="21"/>
      <c r="PWY20" s="21"/>
      <c r="PWZ20" s="21"/>
      <c r="PXA20" s="21"/>
      <c r="PXB20" s="21"/>
      <c r="PXC20" s="21"/>
      <c r="PXD20" s="21"/>
      <c r="PXE20" s="21"/>
      <c r="PXF20" s="21"/>
      <c r="PXG20" s="21"/>
      <c r="PXH20" s="21"/>
      <c r="PXI20" s="21"/>
      <c r="PXJ20" s="21"/>
      <c r="PXK20" s="21"/>
      <c r="PXL20" s="21"/>
      <c r="PXM20" s="21"/>
      <c r="PXN20" s="21"/>
      <c r="PXO20" s="21"/>
      <c r="PXP20" s="21"/>
      <c r="PXQ20" s="21"/>
      <c r="PXR20" s="21"/>
      <c r="PXS20" s="21"/>
      <c r="PXT20" s="21"/>
      <c r="PXU20" s="21"/>
      <c r="PXV20" s="21"/>
      <c r="PXW20" s="21"/>
      <c r="PXX20" s="21"/>
      <c r="PXY20" s="21"/>
      <c r="PXZ20" s="21"/>
      <c r="PYA20" s="21"/>
      <c r="PYB20" s="21"/>
      <c r="PYC20" s="21"/>
      <c r="PYD20" s="21"/>
      <c r="PYE20" s="21"/>
      <c r="PYF20" s="21"/>
      <c r="PYG20" s="21"/>
      <c r="PYH20" s="21"/>
      <c r="PYI20" s="21"/>
      <c r="PYJ20" s="21"/>
      <c r="PYK20" s="21"/>
      <c r="PYL20" s="21"/>
      <c r="PYM20" s="21"/>
      <c r="PYN20" s="21"/>
      <c r="PYO20" s="21"/>
      <c r="PYP20" s="21"/>
      <c r="PYQ20" s="21"/>
      <c r="PYR20" s="21"/>
      <c r="PYS20" s="21"/>
      <c r="PYT20" s="21"/>
      <c r="PYU20" s="21"/>
      <c r="PYV20" s="21"/>
      <c r="PYW20" s="21"/>
      <c r="PYX20" s="21"/>
      <c r="PYY20" s="21"/>
      <c r="PYZ20" s="21"/>
      <c r="PZA20" s="21"/>
      <c r="PZB20" s="21"/>
      <c r="PZC20" s="21"/>
      <c r="PZD20" s="21"/>
      <c r="PZE20" s="21"/>
      <c r="PZF20" s="21"/>
      <c r="PZG20" s="21"/>
      <c r="PZH20" s="21"/>
      <c r="PZI20" s="21"/>
      <c r="PZJ20" s="21"/>
      <c r="PZK20" s="21"/>
      <c r="PZL20" s="21"/>
      <c r="PZM20" s="21"/>
      <c r="PZN20" s="21"/>
      <c r="PZO20" s="21"/>
      <c r="PZP20" s="21"/>
      <c r="PZQ20" s="21"/>
      <c r="PZR20" s="21"/>
      <c r="PZS20" s="21"/>
      <c r="PZT20" s="21"/>
      <c r="PZU20" s="21"/>
      <c r="PZV20" s="21"/>
      <c r="PZW20" s="21"/>
      <c r="PZX20" s="21"/>
      <c r="PZY20" s="21"/>
      <c r="PZZ20" s="21"/>
      <c r="QAA20" s="21"/>
      <c r="QAB20" s="21"/>
      <c r="QAC20" s="21"/>
      <c r="QAD20" s="21"/>
      <c r="QAE20" s="21"/>
      <c r="QAF20" s="21"/>
      <c r="QAG20" s="21"/>
      <c r="QAH20" s="21"/>
      <c r="QAI20" s="21"/>
      <c r="QAJ20" s="21"/>
      <c r="QAK20" s="21"/>
      <c r="QAL20" s="21"/>
      <c r="QAM20" s="21"/>
      <c r="QAN20" s="21"/>
      <c r="QAO20" s="21"/>
      <c r="QAP20" s="21"/>
      <c r="QAQ20" s="21"/>
      <c r="QAR20" s="21"/>
      <c r="QAS20" s="21"/>
      <c r="QAT20" s="21"/>
      <c r="QAU20" s="21"/>
      <c r="QAV20" s="21"/>
      <c r="QAW20" s="21"/>
      <c r="QAX20" s="21"/>
      <c r="QAY20" s="21"/>
      <c r="QAZ20" s="21"/>
      <c r="QBA20" s="21"/>
      <c r="QBB20" s="21"/>
      <c r="QBC20" s="21"/>
      <c r="QBD20" s="21"/>
      <c r="QBE20" s="21"/>
      <c r="QBF20" s="21"/>
      <c r="QBG20" s="21"/>
      <c r="QBH20" s="21"/>
      <c r="QBI20" s="21"/>
      <c r="QBJ20" s="21"/>
      <c r="QBK20" s="21"/>
      <c r="QBL20" s="21"/>
      <c r="QBM20" s="21"/>
      <c r="QBN20" s="21"/>
      <c r="QBO20" s="21"/>
      <c r="QBP20" s="21"/>
      <c r="QBQ20" s="21"/>
      <c r="QBR20" s="21"/>
      <c r="QBS20" s="21"/>
      <c r="QBT20" s="21"/>
      <c r="QBU20" s="21"/>
      <c r="QBV20" s="21"/>
      <c r="QBW20" s="21"/>
      <c r="QBX20" s="21"/>
      <c r="QBY20" s="21"/>
      <c r="QBZ20" s="21"/>
      <c r="QCA20" s="21"/>
      <c r="QCB20" s="21"/>
      <c r="QCC20" s="21"/>
      <c r="QCD20" s="21"/>
      <c r="QCE20" s="21"/>
      <c r="QCF20" s="21"/>
      <c r="QCG20" s="21"/>
      <c r="QCH20" s="21"/>
      <c r="QCI20" s="21"/>
      <c r="QCJ20" s="21"/>
      <c r="QCK20" s="21"/>
      <c r="QCL20" s="21"/>
      <c r="QCM20" s="21"/>
      <c r="QCN20" s="21"/>
      <c r="QCO20" s="21"/>
      <c r="QCP20" s="21"/>
      <c r="QCQ20" s="21"/>
      <c r="QCR20" s="21"/>
      <c r="QCS20" s="21"/>
      <c r="QCT20" s="21"/>
      <c r="QCU20" s="21"/>
      <c r="QCV20" s="21"/>
      <c r="QCW20" s="21"/>
      <c r="QCX20" s="21"/>
      <c r="QCY20" s="21"/>
      <c r="QCZ20" s="21"/>
      <c r="QDA20" s="21"/>
      <c r="QDB20" s="21"/>
      <c r="QDC20" s="21"/>
      <c r="QDD20" s="21"/>
      <c r="QDE20" s="21"/>
      <c r="QDF20" s="21"/>
      <c r="QDG20" s="21"/>
      <c r="QDH20" s="21"/>
      <c r="QDI20" s="21"/>
      <c r="QDJ20" s="21"/>
      <c r="QDK20" s="21"/>
      <c r="QDL20" s="21"/>
      <c r="QDM20" s="21"/>
      <c r="QDN20" s="21"/>
      <c r="QDO20" s="21"/>
      <c r="QDP20" s="21"/>
      <c r="QDQ20" s="21"/>
      <c r="QDR20" s="21"/>
      <c r="QDS20" s="21"/>
      <c r="QDT20" s="21"/>
      <c r="QDU20" s="21"/>
      <c r="QDV20" s="21"/>
      <c r="QDW20" s="21"/>
      <c r="QDX20" s="21"/>
      <c r="QDY20" s="21"/>
      <c r="QDZ20" s="21"/>
      <c r="QEA20" s="21"/>
      <c r="QEB20" s="21"/>
      <c r="QEC20" s="21"/>
      <c r="QED20" s="21"/>
      <c r="QEE20" s="21"/>
      <c r="QEF20" s="21"/>
      <c r="QEG20" s="21"/>
      <c r="QEH20" s="21"/>
      <c r="QEI20" s="21"/>
      <c r="QEJ20" s="21"/>
      <c r="QEK20" s="21"/>
      <c r="QEL20" s="21"/>
      <c r="QEM20" s="21"/>
      <c r="QEN20" s="21"/>
      <c r="QEO20" s="21"/>
      <c r="QEP20" s="21"/>
      <c r="QEQ20" s="21"/>
      <c r="QER20" s="21"/>
      <c r="QES20" s="21"/>
      <c r="QET20" s="21"/>
      <c r="QEU20" s="21"/>
      <c r="QEV20" s="21"/>
      <c r="QEW20" s="21"/>
      <c r="QEX20" s="21"/>
      <c r="QEY20" s="21"/>
      <c r="QEZ20" s="21"/>
      <c r="QFA20" s="21"/>
      <c r="QFB20" s="21"/>
      <c r="QFC20" s="21"/>
      <c r="QFD20" s="21"/>
      <c r="QFE20" s="21"/>
      <c r="QFF20" s="21"/>
      <c r="QFG20" s="21"/>
      <c r="QFH20" s="21"/>
      <c r="QFI20" s="21"/>
      <c r="QFJ20" s="21"/>
      <c r="QFK20" s="21"/>
      <c r="QFL20" s="21"/>
      <c r="QFM20" s="21"/>
      <c r="QFN20" s="21"/>
      <c r="QFO20" s="21"/>
      <c r="QFP20" s="21"/>
      <c r="QFQ20" s="21"/>
      <c r="QFR20" s="21"/>
      <c r="QFS20" s="21"/>
      <c r="QFT20" s="21"/>
      <c r="QFU20" s="21"/>
      <c r="QFV20" s="21"/>
      <c r="QFW20" s="21"/>
      <c r="QFX20" s="21"/>
      <c r="QFY20" s="21"/>
      <c r="QFZ20" s="21"/>
      <c r="QGA20" s="21"/>
      <c r="QGB20" s="21"/>
      <c r="QGC20" s="21"/>
      <c r="QGD20" s="21"/>
      <c r="QGE20" s="21"/>
      <c r="QGF20" s="21"/>
      <c r="QGG20" s="21"/>
      <c r="QGH20" s="21"/>
      <c r="QGI20" s="21"/>
      <c r="QGJ20" s="21"/>
      <c r="QGK20" s="21"/>
      <c r="QGL20" s="21"/>
      <c r="QGM20" s="21"/>
      <c r="QGN20" s="21"/>
      <c r="QGO20" s="21"/>
      <c r="QGP20" s="21"/>
      <c r="QGQ20" s="21"/>
      <c r="QGR20" s="21"/>
      <c r="QGS20" s="21"/>
      <c r="QGT20" s="21"/>
      <c r="QGU20" s="21"/>
      <c r="QGV20" s="21"/>
      <c r="QGW20" s="21"/>
      <c r="QGX20" s="21"/>
      <c r="QGY20" s="21"/>
      <c r="QGZ20" s="21"/>
      <c r="QHA20" s="21"/>
      <c r="QHB20" s="21"/>
      <c r="QHC20" s="21"/>
      <c r="QHD20" s="21"/>
      <c r="QHE20" s="21"/>
      <c r="QHF20" s="21"/>
      <c r="QHG20" s="21"/>
      <c r="QHH20" s="21"/>
      <c r="QHI20" s="21"/>
      <c r="QHJ20" s="21"/>
      <c r="QHK20" s="21"/>
      <c r="QHL20" s="21"/>
      <c r="QHM20" s="21"/>
      <c r="QHN20" s="21"/>
      <c r="QHO20" s="21"/>
      <c r="QHP20" s="21"/>
      <c r="QHQ20" s="21"/>
      <c r="QHR20" s="21"/>
      <c r="QHS20" s="21"/>
      <c r="QHT20" s="21"/>
      <c r="QHU20" s="21"/>
      <c r="QHV20" s="21"/>
      <c r="QHW20" s="21"/>
      <c r="QHX20" s="21"/>
      <c r="QHY20" s="21"/>
      <c r="QHZ20" s="21"/>
      <c r="QIA20" s="21"/>
      <c r="QIB20" s="21"/>
      <c r="QIC20" s="21"/>
      <c r="QID20" s="21"/>
      <c r="QIE20" s="21"/>
      <c r="QIF20" s="21"/>
      <c r="QIG20" s="21"/>
      <c r="QIH20" s="21"/>
      <c r="QII20" s="21"/>
      <c r="QIJ20" s="21"/>
      <c r="QIK20" s="21"/>
      <c r="QIL20" s="21"/>
      <c r="QIM20" s="21"/>
      <c r="QIN20" s="21"/>
      <c r="QIO20" s="21"/>
      <c r="QIP20" s="21"/>
      <c r="QIQ20" s="21"/>
      <c r="QIR20" s="21"/>
      <c r="QIS20" s="21"/>
      <c r="QIT20" s="21"/>
      <c r="QIU20" s="21"/>
      <c r="QIV20" s="21"/>
      <c r="QIW20" s="21"/>
      <c r="QIX20" s="21"/>
      <c r="QIY20" s="21"/>
      <c r="QIZ20" s="21"/>
      <c r="QJA20" s="21"/>
      <c r="QJB20" s="21"/>
      <c r="QJC20" s="21"/>
      <c r="QJD20" s="21"/>
      <c r="QJE20" s="21"/>
      <c r="QJF20" s="21"/>
      <c r="QJG20" s="21"/>
      <c r="QJH20" s="21"/>
      <c r="QJI20" s="21"/>
      <c r="QJJ20" s="21"/>
      <c r="QJK20" s="21"/>
      <c r="QJL20" s="21"/>
      <c r="QJM20" s="21"/>
      <c r="QJN20" s="21"/>
      <c r="QJO20" s="21"/>
      <c r="QJP20" s="21"/>
      <c r="QJQ20" s="21"/>
      <c r="QJR20" s="21"/>
      <c r="QJS20" s="21"/>
      <c r="QJT20" s="21"/>
      <c r="QJU20" s="21"/>
      <c r="QJV20" s="21"/>
      <c r="QJW20" s="21"/>
      <c r="QJX20" s="21"/>
      <c r="QJY20" s="21"/>
      <c r="QJZ20" s="21"/>
      <c r="QKA20" s="21"/>
      <c r="QKB20" s="21"/>
      <c r="QKC20" s="21"/>
      <c r="QKD20" s="21"/>
      <c r="QKE20" s="21"/>
      <c r="QKF20" s="21"/>
      <c r="QKG20" s="21"/>
      <c r="QKH20" s="21"/>
      <c r="QKI20" s="21"/>
      <c r="QKJ20" s="21"/>
      <c r="QKK20" s="21"/>
      <c r="QKL20" s="21"/>
      <c r="QKM20" s="21"/>
      <c r="QKN20" s="21"/>
      <c r="QKO20" s="21"/>
      <c r="QKP20" s="21"/>
      <c r="QKQ20" s="21"/>
      <c r="QKR20" s="21"/>
      <c r="QKS20" s="21"/>
      <c r="QKT20" s="21"/>
      <c r="QKU20" s="21"/>
      <c r="QKV20" s="21"/>
      <c r="QKW20" s="21"/>
      <c r="QKX20" s="21"/>
      <c r="QKY20" s="21"/>
      <c r="QKZ20" s="21"/>
      <c r="QLA20" s="21"/>
      <c r="QLB20" s="21"/>
      <c r="QLC20" s="21"/>
      <c r="QLD20" s="21"/>
      <c r="QLE20" s="21"/>
      <c r="QLF20" s="21"/>
      <c r="QLG20" s="21"/>
      <c r="QLH20" s="21"/>
      <c r="QLI20" s="21"/>
      <c r="QLJ20" s="21"/>
      <c r="QLK20" s="21"/>
      <c r="QLL20" s="21"/>
      <c r="QLM20" s="21"/>
      <c r="QLN20" s="21"/>
      <c r="QLO20" s="21"/>
      <c r="QLP20" s="21"/>
      <c r="QLQ20" s="21"/>
      <c r="QLR20" s="21"/>
      <c r="QLS20" s="21"/>
      <c r="QLT20" s="21"/>
      <c r="QLU20" s="21"/>
      <c r="QLV20" s="21"/>
      <c r="QLW20" s="21"/>
      <c r="QLX20" s="21"/>
      <c r="QLY20" s="21"/>
      <c r="QLZ20" s="21"/>
      <c r="QMA20" s="21"/>
      <c r="QMB20" s="21"/>
      <c r="QMC20" s="21"/>
      <c r="QMD20" s="21"/>
      <c r="QME20" s="21"/>
      <c r="QMF20" s="21"/>
      <c r="QMG20" s="21"/>
      <c r="QMH20" s="21"/>
      <c r="QMI20" s="21"/>
      <c r="QMJ20" s="21"/>
      <c r="QMK20" s="21"/>
      <c r="QML20" s="21"/>
      <c r="QMM20" s="21"/>
      <c r="QMN20" s="21"/>
      <c r="QMO20" s="21"/>
      <c r="QMP20" s="21"/>
      <c r="QMQ20" s="21"/>
      <c r="QMR20" s="21"/>
      <c r="QMS20" s="21"/>
      <c r="QMT20" s="21"/>
      <c r="QMU20" s="21"/>
      <c r="QMV20" s="21"/>
      <c r="QMW20" s="21"/>
      <c r="QMX20" s="21"/>
      <c r="QMY20" s="21"/>
      <c r="QMZ20" s="21"/>
      <c r="QNA20" s="21"/>
      <c r="QNB20" s="21"/>
      <c r="QNC20" s="21"/>
      <c r="QND20" s="21"/>
      <c r="QNE20" s="21"/>
      <c r="QNF20" s="21"/>
      <c r="QNG20" s="21"/>
      <c r="QNH20" s="21"/>
      <c r="QNI20" s="21"/>
      <c r="QNJ20" s="21"/>
      <c r="QNK20" s="21"/>
      <c r="QNL20" s="21"/>
      <c r="QNM20" s="21"/>
      <c r="QNN20" s="21"/>
      <c r="QNO20" s="21"/>
      <c r="QNP20" s="21"/>
      <c r="QNQ20" s="21"/>
      <c r="QNR20" s="21"/>
      <c r="QNS20" s="21"/>
      <c r="QNT20" s="21"/>
      <c r="QNU20" s="21"/>
      <c r="QNV20" s="21"/>
      <c r="QNW20" s="21"/>
      <c r="QNX20" s="21"/>
      <c r="QNY20" s="21"/>
      <c r="QNZ20" s="21"/>
      <c r="QOA20" s="21"/>
      <c r="QOB20" s="21"/>
      <c r="QOC20" s="21"/>
      <c r="QOD20" s="21"/>
      <c r="QOE20" s="21"/>
      <c r="QOF20" s="21"/>
      <c r="QOG20" s="21"/>
      <c r="QOH20" s="21"/>
      <c r="QOI20" s="21"/>
      <c r="QOJ20" s="21"/>
      <c r="QOK20" s="21"/>
      <c r="QOL20" s="21"/>
      <c r="QOM20" s="21"/>
      <c r="QON20" s="21"/>
      <c r="QOO20" s="21"/>
      <c r="QOP20" s="21"/>
      <c r="QOQ20" s="21"/>
      <c r="QOR20" s="21"/>
      <c r="QOS20" s="21"/>
      <c r="QOT20" s="21"/>
      <c r="QOU20" s="21"/>
      <c r="QOV20" s="21"/>
      <c r="QOW20" s="21"/>
      <c r="QOX20" s="21"/>
      <c r="QOY20" s="21"/>
      <c r="QOZ20" s="21"/>
      <c r="QPA20" s="21"/>
      <c r="QPB20" s="21"/>
      <c r="QPC20" s="21"/>
      <c r="QPD20" s="21"/>
      <c r="QPE20" s="21"/>
      <c r="QPF20" s="21"/>
      <c r="QPG20" s="21"/>
      <c r="QPH20" s="21"/>
      <c r="QPI20" s="21"/>
      <c r="QPJ20" s="21"/>
      <c r="QPK20" s="21"/>
      <c r="QPL20" s="21"/>
      <c r="QPM20" s="21"/>
      <c r="QPN20" s="21"/>
      <c r="QPO20" s="21"/>
      <c r="QPP20" s="21"/>
      <c r="QPQ20" s="21"/>
      <c r="QPR20" s="21"/>
      <c r="QPS20" s="21"/>
      <c r="QPT20" s="21"/>
      <c r="QPU20" s="21"/>
      <c r="QPV20" s="21"/>
      <c r="QPW20" s="21"/>
      <c r="QPX20" s="21"/>
      <c r="QPY20" s="21"/>
      <c r="QPZ20" s="21"/>
      <c r="QQA20" s="21"/>
      <c r="QQB20" s="21"/>
      <c r="QQC20" s="21"/>
      <c r="QQD20" s="21"/>
      <c r="QQE20" s="21"/>
      <c r="QQF20" s="21"/>
      <c r="QQG20" s="21"/>
      <c r="QQH20" s="21"/>
      <c r="QQI20" s="21"/>
      <c r="QQJ20" s="21"/>
      <c r="QQK20" s="21"/>
      <c r="QQL20" s="21"/>
      <c r="QQM20" s="21"/>
      <c r="QQN20" s="21"/>
      <c r="QQO20" s="21"/>
      <c r="QQP20" s="21"/>
      <c r="QQQ20" s="21"/>
      <c r="QQR20" s="21"/>
      <c r="QQS20" s="21"/>
      <c r="QQT20" s="21"/>
      <c r="QQU20" s="21"/>
      <c r="QQV20" s="21"/>
      <c r="QQW20" s="21"/>
      <c r="QQX20" s="21"/>
      <c r="QQY20" s="21"/>
      <c r="QQZ20" s="21"/>
      <c r="QRA20" s="21"/>
      <c r="QRB20" s="21"/>
      <c r="QRC20" s="21"/>
      <c r="QRD20" s="21"/>
      <c r="QRE20" s="21"/>
      <c r="QRF20" s="21"/>
      <c r="QRG20" s="21"/>
      <c r="QRH20" s="21"/>
      <c r="QRI20" s="21"/>
      <c r="QRJ20" s="21"/>
      <c r="QRK20" s="21"/>
      <c r="QRL20" s="21"/>
      <c r="QRM20" s="21"/>
      <c r="QRN20" s="21"/>
      <c r="QRO20" s="21"/>
      <c r="QRP20" s="21"/>
      <c r="QRQ20" s="21"/>
      <c r="QRR20" s="21"/>
      <c r="QRS20" s="21"/>
      <c r="QRT20" s="21"/>
      <c r="QRU20" s="21"/>
      <c r="QRV20" s="21"/>
      <c r="QRW20" s="21"/>
      <c r="QRX20" s="21"/>
      <c r="QRY20" s="21"/>
      <c r="QRZ20" s="21"/>
      <c r="QSA20" s="21"/>
      <c r="QSB20" s="21"/>
      <c r="QSC20" s="21"/>
      <c r="QSD20" s="21"/>
      <c r="QSE20" s="21"/>
      <c r="QSF20" s="21"/>
      <c r="QSG20" s="21"/>
      <c r="QSH20" s="21"/>
      <c r="QSI20" s="21"/>
      <c r="QSJ20" s="21"/>
      <c r="QSK20" s="21"/>
      <c r="QSL20" s="21"/>
      <c r="QSM20" s="21"/>
      <c r="QSN20" s="21"/>
      <c r="QSO20" s="21"/>
      <c r="QSP20" s="21"/>
      <c r="QSQ20" s="21"/>
      <c r="QSR20" s="21"/>
      <c r="QSS20" s="21"/>
      <c r="QST20" s="21"/>
      <c r="QSU20" s="21"/>
      <c r="QSV20" s="21"/>
      <c r="QSW20" s="21"/>
      <c r="QSX20" s="21"/>
      <c r="QSY20" s="21"/>
      <c r="QSZ20" s="21"/>
      <c r="QTA20" s="21"/>
      <c r="QTB20" s="21"/>
      <c r="QTC20" s="21"/>
      <c r="QTD20" s="21"/>
      <c r="QTE20" s="21"/>
      <c r="QTF20" s="21"/>
      <c r="QTG20" s="21"/>
      <c r="QTH20" s="21"/>
      <c r="QTI20" s="21"/>
      <c r="QTJ20" s="21"/>
      <c r="QTK20" s="21"/>
      <c r="QTL20" s="21"/>
      <c r="QTM20" s="21"/>
      <c r="QTN20" s="21"/>
      <c r="QTO20" s="21"/>
      <c r="QTP20" s="21"/>
      <c r="QTQ20" s="21"/>
      <c r="QTR20" s="21"/>
      <c r="QTS20" s="21"/>
      <c r="QTT20" s="21"/>
      <c r="QTU20" s="21"/>
      <c r="QTV20" s="21"/>
      <c r="QTW20" s="21"/>
      <c r="QTX20" s="21"/>
      <c r="QTY20" s="21"/>
      <c r="QTZ20" s="21"/>
      <c r="QUA20" s="21"/>
      <c r="QUB20" s="21"/>
      <c r="QUC20" s="21"/>
      <c r="QUD20" s="21"/>
      <c r="QUE20" s="21"/>
      <c r="QUF20" s="21"/>
      <c r="QUG20" s="21"/>
      <c r="QUH20" s="21"/>
      <c r="QUI20" s="21"/>
      <c r="QUJ20" s="21"/>
      <c r="QUK20" s="21"/>
      <c r="QUL20" s="21"/>
      <c r="QUM20" s="21"/>
      <c r="QUN20" s="21"/>
      <c r="QUO20" s="21"/>
      <c r="QUP20" s="21"/>
      <c r="QUQ20" s="21"/>
      <c r="QUR20" s="21"/>
      <c r="QUS20" s="21"/>
      <c r="QUT20" s="21"/>
      <c r="QUU20" s="21"/>
      <c r="QUV20" s="21"/>
      <c r="QUW20" s="21"/>
      <c r="QUX20" s="21"/>
      <c r="QUY20" s="21"/>
      <c r="QUZ20" s="21"/>
      <c r="QVA20" s="21"/>
      <c r="QVB20" s="21"/>
      <c r="QVC20" s="21"/>
      <c r="QVD20" s="21"/>
      <c r="QVE20" s="21"/>
      <c r="QVF20" s="21"/>
      <c r="QVG20" s="21"/>
      <c r="QVH20" s="21"/>
      <c r="QVI20" s="21"/>
      <c r="QVJ20" s="21"/>
      <c r="QVK20" s="21"/>
      <c r="QVL20" s="21"/>
      <c r="QVM20" s="21"/>
      <c r="QVN20" s="21"/>
      <c r="QVO20" s="21"/>
      <c r="QVP20" s="21"/>
      <c r="QVQ20" s="21"/>
      <c r="QVR20" s="21"/>
      <c r="QVS20" s="21"/>
      <c r="QVT20" s="21"/>
      <c r="QVU20" s="21"/>
      <c r="QVV20" s="21"/>
      <c r="QVW20" s="21"/>
      <c r="QVX20" s="21"/>
      <c r="QVY20" s="21"/>
      <c r="QVZ20" s="21"/>
      <c r="QWA20" s="21"/>
      <c r="QWB20" s="21"/>
      <c r="QWC20" s="21"/>
      <c r="QWD20" s="21"/>
      <c r="QWE20" s="21"/>
      <c r="QWF20" s="21"/>
      <c r="QWG20" s="21"/>
      <c r="QWH20" s="21"/>
      <c r="QWI20" s="21"/>
      <c r="QWJ20" s="21"/>
      <c r="QWK20" s="21"/>
      <c r="QWL20" s="21"/>
      <c r="QWM20" s="21"/>
      <c r="QWN20" s="21"/>
      <c r="QWO20" s="21"/>
      <c r="QWP20" s="21"/>
      <c r="QWQ20" s="21"/>
      <c r="QWR20" s="21"/>
      <c r="QWS20" s="21"/>
      <c r="QWT20" s="21"/>
      <c r="QWU20" s="21"/>
      <c r="QWV20" s="21"/>
      <c r="QWW20" s="21"/>
      <c r="QWX20" s="21"/>
      <c r="QWY20" s="21"/>
      <c r="QWZ20" s="21"/>
      <c r="QXA20" s="21"/>
      <c r="QXB20" s="21"/>
      <c r="QXC20" s="21"/>
      <c r="QXD20" s="21"/>
      <c r="QXE20" s="21"/>
      <c r="QXF20" s="21"/>
      <c r="QXG20" s="21"/>
      <c r="QXH20" s="21"/>
      <c r="QXI20" s="21"/>
      <c r="QXJ20" s="21"/>
      <c r="QXK20" s="21"/>
      <c r="QXL20" s="21"/>
      <c r="QXM20" s="21"/>
      <c r="QXN20" s="21"/>
      <c r="QXO20" s="21"/>
      <c r="QXP20" s="21"/>
      <c r="QXQ20" s="21"/>
      <c r="QXR20" s="21"/>
      <c r="QXS20" s="21"/>
      <c r="QXT20" s="21"/>
      <c r="QXU20" s="21"/>
      <c r="QXV20" s="21"/>
      <c r="QXW20" s="21"/>
      <c r="QXX20" s="21"/>
      <c r="QXY20" s="21"/>
      <c r="QXZ20" s="21"/>
      <c r="QYA20" s="21"/>
      <c r="QYB20" s="21"/>
      <c r="QYC20" s="21"/>
      <c r="QYD20" s="21"/>
      <c r="QYE20" s="21"/>
      <c r="QYF20" s="21"/>
      <c r="QYG20" s="21"/>
      <c r="QYH20" s="21"/>
      <c r="QYI20" s="21"/>
      <c r="QYJ20" s="21"/>
      <c r="QYK20" s="21"/>
      <c r="QYL20" s="21"/>
      <c r="QYM20" s="21"/>
      <c r="QYN20" s="21"/>
      <c r="QYO20" s="21"/>
      <c r="QYP20" s="21"/>
      <c r="QYQ20" s="21"/>
      <c r="QYR20" s="21"/>
      <c r="QYS20" s="21"/>
      <c r="QYT20" s="21"/>
      <c r="QYU20" s="21"/>
      <c r="QYV20" s="21"/>
      <c r="QYW20" s="21"/>
      <c r="QYX20" s="21"/>
      <c r="QYY20" s="21"/>
      <c r="QYZ20" s="21"/>
      <c r="QZA20" s="21"/>
      <c r="QZB20" s="21"/>
      <c r="QZC20" s="21"/>
      <c r="QZD20" s="21"/>
      <c r="QZE20" s="21"/>
      <c r="QZF20" s="21"/>
      <c r="QZG20" s="21"/>
      <c r="QZH20" s="21"/>
      <c r="QZI20" s="21"/>
      <c r="QZJ20" s="21"/>
      <c r="QZK20" s="21"/>
      <c r="QZL20" s="21"/>
      <c r="QZM20" s="21"/>
      <c r="QZN20" s="21"/>
      <c r="QZO20" s="21"/>
      <c r="QZP20" s="21"/>
      <c r="QZQ20" s="21"/>
      <c r="QZR20" s="21"/>
      <c r="QZS20" s="21"/>
      <c r="QZT20" s="21"/>
      <c r="QZU20" s="21"/>
      <c r="QZV20" s="21"/>
      <c r="QZW20" s="21"/>
      <c r="QZX20" s="21"/>
      <c r="QZY20" s="21"/>
      <c r="QZZ20" s="21"/>
      <c r="RAA20" s="21"/>
      <c r="RAB20" s="21"/>
      <c r="RAC20" s="21"/>
      <c r="RAD20" s="21"/>
      <c r="RAE20" s="21"/>
      <c r="RAF20" s="21"/>
      <c r="RAG20" s="21"/>
      <c r="RAH20" s="21"/>
      <c r="RAI20" s="21"/>
      <c r="RAJ20" s="21"/>
      <c r="RAK20" s="21"/>
      <c r="RAL20" s="21"/>
      <c r="RAM20" s="21"/>
      <c r="RAN20" s="21"/>
      <c r="RAO20" s="21"/>
      <c r="RAP20" s="21"/>
      <c r="RAQ20" s="21"/>
      <c r="RAR20" s="21"/>
      <c r="RAS20" s="21"/>
      <c r="RAT20" s="21"/>
      <c r="RAU20" s="21"/>
      <c r="RAV20" s="21"/>
      <c r="RAW20" s="21"/>
      <c r="RAX20" s="21"/>
      <c r="RAY20" s="21"/>
      <c r="RAZ20" s="21"/>
      <c r="RBA20" s="21"/>
      <c r="RBB20" s="21"/>
      <c r="RBC20" s="21"/>
      <c r="RBD20" s="21"/>
      <c r="RBE20" s="21"/>
      <c r="RBF20" s="21"/>
      <c r="RBG20" s="21"/>
      <c r="RBH20" s="21"/>
      <c r="RBI20" s="21"/>
      <c r="RBJ20" s="21"/>
      <c r="RBK20" s="21"/>
      <c r="RBL20" s="21"/>
      <c r="RBM20" s="21"/>
      <c r="RBN20" s="21"/>
      <c r="RBO20" s="21"/>
      <c r="RBP20" s="21"/>
      <c r="RBQ20" s="21"/>
      <c r="RBR20" s="21"/>
      <c r="RBS20" s="21"/>
      <c r="RBT20" s="21"/>
      <c r="RBU20" s="21"/>
      <c r="RBV20" s="21"/>
      <c r="RBW20" s="21"/>
      <c r="RBX20" s="21"/>
      <c r="RBY20" s="21"/>
      <c r="RBZ20" s="21"/>
      <c r="RCA20" s="21"/>
      <c r="RCB20" s="21"/>
      <c r="RCC20" s="21"/>
      <c r="RCD20" s="21"/>
      <c r="RCE20" s="21"/>
      <c r="RCF20" s="21"/>
      <c r="RCG20" s="21"/>
      <c r="RCH20" s="21"/>
      <c r="RCI20" s="21"/>
      <c r="RCJ20" s="21"/>
      <c r="RCK20" s="21"/>
      <c r="RCL20" s="21"/>
      <c r="RCM20" s="21"/>
      <c r="RCN20" s="21"/>
      <c r="RCO20" s="21"/>
      <c r="RCP20" s="21"/>
      <c r="RCQ20" s="21"/>
      <c r="RCR20" s="21"/>
      <c r="RCS20" s="21"/>
      <c r="RCT20" s="21"/>
      <c r="RCU20" s="21"/>
      <c r="RCV20" s="21"/>
      <c r="RCW20" s="21"/>
      <c r="RCX20" s="21"/>
      <c r="RCY20" s="21"/>
      <c r="RCZ20" s="21"/>
      <c r="RDA20" s="21"/>
      <c r="RDB20" s="21"/>
      <c r="RDC20" s="21"/>
      <c r="RDD20" s="21"/>
      <c r="RDE20" s="21"/>
      <c r="RDF20" s="21"/>
      <c r="RDG20" s="21"/>
      <c r="RDH20" s="21"/>
      <c r="RDI20" s="21"/>
      <c r="RDJ20" s="21"/>
      <c r="RDK20" s="21"/>
      <c r="RDL20" s="21"/>
      <c r="RDM20" s="21"/>
      <c r="RDN20" s="21"/>
      <c r="RDO20" s="21"/>
      <c r="RDP20" s="21"/>
      <c r="RDQ20" s="21"/>
      <c r="RDR20" s="21"/>
      <c r="RDS20" s="21"/>
      <c r="RDT20" s="21"/>
      <c r="RDU20" s="21"/>
      <c r="RDV20" s="21"/>
      <c r="RDW20" s="21"/>
      <c r="RDX20" s="21"/>
      <c r="RDY20" s="21"/>
      <c r="RDZ20" s="21"/>
      <c r="REA20" s="21"/>
      <c r="REB20" s="21"/>
      <c r="REC20" s="21"/>
      <c r="RED20" s="21"/>
      <c r="REE20" s="21"/>
      <c r="REF20" s="21"/>
      <c r="REG20" s="21"/>
      <c r="REH20" s="21"/>
      <c r="REI20" s="21"/>
      <c r="REJ20" s="21"/>
      <c r="REK20" s="21"/>
      <c r="REL20" s="21"/>
      <c r="REM20" s="21"/>
      <c r="REN20" s="21"/>
      <c r="REO20" s="21"/>
      <c r="REP20" s="21"/>
      <c r="REQ20" s="21"/>
      <c r="RER20" s="21"/>
      <c r="RES20" s="21"/>
      <c r="RET20" s="21"/>
      <c r="REU20" s="21"/>
      <c r="REV20" s="21"/>
      <c r="REW20" s="21"/>
      <c r="REX20" s="21"/>
      <c r="REY20" s="21"/>
      <c r="REZ20" s="21"/>
      <c r="RFA20" s="21"/>
      <c r="RFB20" s="21"/>
      <c r="RFC20" s="21"/>
      <c r="RFD20" s="21"/>
      <c r="RFE20" s="21"/>
      <c r="RFF20" s="21"/>
      <c r="RFG20" s="21"/>
      <c r="RFH20" s="21"/>
      <c r="RFI20" s="21"/>
      <c r="RFJ20" s="21"/>
      <c r="RFK20" s="21"/>
      <c r="RFL20" s="21"/>
      <c r="RFM20" s="21"/>
      <c r="RFN20" s="21"/>
      <c r="RFO20" s="21"/>
      <c r="RFP20" s="21"/>
      <c r="RFQ20" s="21"/>
      <c r="RFR20" s="21"/>
      <c r="RFS20" s="21"/>
      <c r="RFT20" s="21"/>
      <c r="RFU20" s="21"/>
      <c r="RFV20" s="21"/>
      <c r="RFW20" s="21"/>
      <c r="RFX20" s="21"/>
      <c r="RFY20" s="21"/>
      <c r="RFZ20" s="21"/>
      <c r="RGA20" s="21"/>
      <c r="RGB20" s="21"/>
      <c r="RGC20" s="21"/>
      <c r="RGD20" s="21"/>
      <c r="RGE20" s="21"/>
      <c r="RGF20" s="21"/>
      <c r="RGG20" s="21"/>
      <c r="RGH20" s="21"/>
      <c r="RGI20" s="21"/>
      <c r="RGJ20" s="21"/>
      <c r="RGK20" s="21"/>
      <c r="RGL20" s="21"/>
      <c r="RGM20" s="21"/>
      <c r="RGN20" s="21"/>
      <c r="RGO20" s="21"/>
      <c r="RGP20" s="21"/>
      <c r="RGQ20" s="21"/>
      <c r="RGR20" s="21"/>
      <c r="RGS20" s="21"/>
      <c r="RGT20" s="21"/>
      <c r="RGU20" s="21"/>
      <c r="RGV20" s="21"/>
      <c r="RGW20" s="21"/>
      <c r="RGX20" s="21"/>
      <c r="RGY20" s="21"/>
      <c r="RGZ20" s="21"/>
      <c r="RHA20" s="21"/>
      <c r="RHB20" s="21"/>
      <c r="RHC20" s="21"/>
      <c r="RHD20" s="21"/>
      <c r="RHE20" s="21"/>
      <c r="RHF20" s="21"/>
      <c r="RHG20" s="21"/>
      <c r="RHH20" s="21"/>
      <c r="RHI20" s="21"/>
      <c r="RHJ20" s="21"/>
      <c r="RHK20" s="21"/>
      <c r="RHL20" s="21"/>
      <c r="RHM20" s="21"/>
      <c r="RHN20" s="21"/>
      <c r="RHO20" s="21"/>
      <c r="RHP20" s="21"/>
      <c r="RHQ20" s="21"/>
      <c r="RHR20" s="21"/>
      <c r="RHS20" s="21"/>
      <c r="RHT20" s="21"/>
      <c r="RHU20" s="21"/>
      <c r="RHV20" s="21"/>
      <c r="RHW20" s="21"/>
      <c r="RHX20" s="21"/>
      <c r="RHY20" s="21"/>
      <c r="RHZ20" s="21"/>
      <c r="RIA20" s="21"/>
      <c r="RIB20" s="21"/>
      <c r="RIC20" s="21"/>
      <c r="RID20" s="21"/>
      <c r="RIE20" s="21"/>
      <c r="RIF20" s="21"/>
      <c r="RIG20" s="21"/>
      <c r="RIH20" s="21"/>
      <c r="RII20" s="21"/>
      <c r="RIJ20" s="21"/>
      <c r="RIK20" s="21"/>
      <c r="RIL20" s="21"/>
      <c r="RIM20" s="21"/>
      <c r="RIN20" s="21"/>
      <c r="RIO20" s="21"/>
      <c r="RIP20" s="21"/>
      <c r="RIQ20" s="21"/>
      <c r="RIR20" s="21"/>
      <c r="RIS20" s="21"/>
      <c r="RIT20" s="21"/>
      <c r="RIU20" s="21"/>
      <c r="RIV20" s="21"/>
      <c r="RIW20" s="21"/>
      <c r="RIX20" s="21"/>
      <c r="RIY20" s="21"/>
      <c r="RIZ20" s="21"/>
      <c r="RJA20" s="21"/>
      <c r="RJB20" s="21"/>
      <c r="RJC20" s="21"/>
      <c r="RJD20" s="21"/>
      <c r="RJE20" s="21"/>
      <c r="RJF20" s="21"/>
      <c r="RJG20" s="21"/>
      <c r="RJH20" s="21"/>
      <c r="RJI20" s="21"/>
      <c r="RJJ20" s="21"/>
      <c r="RJK20" s="21"/>
      <c r="RJL20" s="21"/>
      <c r="RJM20" s="21"/>
      <c r="RJN20" s="21"/>
      <c r="RJO20" s="21"/>
      <c r="RJP20" s="21"/>
      <c r="RJQ20" s="21"/>
      <c r="RJR20" s="21"/>
      <c r="RJS20" s="21"/>
      <c r="RJT20" s="21"/>
      <c r="RJU20" s="21"/>
      <c r="RJV20" s="21"/>
      <c r="RJW20" s="21"/>
      <c r="RJX20" s="21"/>
      <c r="RJY20" s="21"/>
      <c r="RJZ20" s="21"/>
      <c r="RKA20" s="21"/>
      <c r="RKB20" s="21"/>
      <c r="RKC20" s="21"/>
      <c r="RKD20" s="21"/>
      <c r="RKE20" s="21"/>
      <c r="RKF20" s="21"/>
      <c r="RKG20" s="21"/>
      <c r="RKH20" s="21"/>
      <c r="RKI20" s="21"/>
      <c r="RKJ20" s="21"/>
      <c r="RKK20" s="21"/>
      <c r="RKL20" s="21"/>
      <c r="RKM20" s="21"/>
      <c r="RKN20" s="21"/>
      <c r="RKO20" s="21"/>
      <c r="RKP20" s="21"/>
      <c r="RKQ20" s="21"/>
      <c r="RKR20" s="21"/>
      <c r="RKS20" s="21"/>
      <c r="RKT20" s="21"/>
      <c r="RKU20" s="21"/>
      <c r="RKV20" s="21"/>
      <c r="RKW20" s="21"/>
      <c r="RKX20" s="21"/>
      <c r="RKY20" s="21"/>
      <c r="RKZ20" s="21"/>
      <c r="RLA20" s="21"/>
      <c r="RLB20" s="21"/>
      <c r="RLC20" s="21"/>
      <c r="RLD20" s="21"/>
      <c r="RLE20" s="21"/>
      <c r="RLF20" s="21"/>
      <c r="RLG20" s="21"/>
      <c r="RLH20" s="21"/>
      <c r="RLI20" s="21"/>
      <c r="RLJ20" s="21"/>
      <c r="RLK20" s="21"/>
      <c r="RLL20" s="21"/>
      <c r="RLM20" s="21"/>
      <c r="RLN20" s="21"/>
      <c r="RLO20" s="21"/>
      <c r="RLP20" s="21"/>
      <c r="RLQ20" s="21"/>
      <c r="RLR20" s="21"/>
      <c r="RLS20" s="21"/>
      <c r="RLT20" s="21"/>
      <c r="RLU20" s="21"/>
      <c r="RLV20" s="21"/>
      <c r="RLW20" s="21"/>
      <c r="RLX20" s="21"/>
      <c r="RLY20" s="21"/>
      <c r="RLZ20" s="21"/>
      <c r="RMA20" s="21"/>
      <c r="RMB20" s="21"/>
      <c r="RMC20" s="21"/>
      <c r="RMD20" s="21"/>
      <c r="RME20" s="21"/>
      <c r="RMF20" s="21"/>
      <c r="RMG20" s="21"/>
      <c r="RMH20" s="21"/>
      <c r="RMI20" s="21"/>
      <c r="RMJ20" s="21"/>
      <c r="RMK20" s="21"/>
      <c r="RML20" s="21"/>
      <c r="RMM20" s="21"/>
      <c r="RMN20" s="21"/>
      <c r="RMO20" s="21"/>
      <c r="RMP20" s="21"/>
      <c r="RMQ20" s="21"/>
      <c r="RMR20" s="21"/>
      <c r="RMS20" s="21"/>
      <c r="RMT20" s="21"/>
      <c r="RMU20" s="21"/>
      <c r="RMV20" s="21"/>
      <c r="RMW20" s="21"/>
      <c r="RMX20" s="21"/>
      <c r="RMY20" s="21"/>
      <c r="RMZ20" s="21"/>
      <c r="RNA20" s="21"/>
      <c r="RNB20" s="21"/>
      <c r="RNC20" s="21"/>
      <c r="RND20" s="21"/>
      <c r="RNE20" s="21"/>
      <c r="RNF20" s="21"/>
      <c r="RNG20" s="21"/>
      <c r="RNH20" s="21"/>
      <c r="RNI20" s="21"/>
      <c r="RNJ20" s="21"/>
      <c r="RNK20" s="21"/>
      <c r="RNL20" s="21"/>
      <c r="RNM20" s="21"/>
      <c r="RNN20" s="21"/>
      <c r="RNO20" s="21"/>
      <c r="RNP20" s="21"/>
      <c r="RNQ20" s="21"/>
      <c r="RNR20" s="21"/>
      <c r="RNS20" s="21"/>
      <c r="RNT20" s="21"/>
      <c r="RNU20" s="21"/>
      <c r="RNV20" s="21"/>
      <c r="RNW20" s="21"/>
      <c r="RNX20" s="21"/>
      <c r="RNY20" s="21"/>
      <c r="RNZ20" s="21"/>
      <c r="ROA20" s="21"/>
      <c r="ROB20" s="21"/>
      <c r="ROC20" s="21"/>
      <c r="ROD20" s="21"/>
      <c r="ROE20" s="21"/>
      <c r="ROF20" s="21"/>
      <c r="ROG20" s="21"/>
      <c r="ROH20" s="21"/>
      <c r="ROI20" s="21"/>
      <c r="ROJ20" s="21"/>
      <c r="ROK20" s="21"/>
      <c r="ROL20" s="21"/>
      <c r="ROM20" s="21"/>
      <c r="RON20" s="21"/>
      <c r="ROO20" s="21"/>
      <c r="ROP20" s="21"/>
      <c r="ROQ20" s="21"/>
      <c r="ROR20" s="21"/>
      <c r="ROS20" s="21"/>
      <c r="ROT20" s="21"/>
      <c r="ROU20" s="21"/>
      <c r="ROV20" s="21"/>
      <c r="ROW20" s="21"/>
      <c r="ROX20" s="21"/>
      <c r="ROY20" s="21"/>
      <c r="ROZ20" s="21"/>
      <c r="RPA20" s="21"/>
      <c r="RPB20" s="21"/>
      <c r="RPC20" s="21"/>
      <c r="RPD20" s="21"/>
      <c r="RPE20" s="21"/>
      <c r="RPF20" s="21"/>
      <c r="RPG20" s="21"/>
      <c r="RPH20" s="21"/>
      <c r="RPI20" s="21"/>
      <c r="RPJ20" s="21"/>
      <c r="RPK20" s="21"/>
      <c r="RPL20" s="21"/>
      <c r="RPM20" s="21"/>
      <c r="RPN20" s="21"/>
      <c r="RPO20" s="21"/>
      <c r="RPP20" s="21"/>
      <c r="RPQ20" s="21"/>
      <c r="RPR20" s="21"/>
      <c r="RPS20" s="21"/>
      <c r="RPT20" s="21"/>
      <c r="RPU20" s="21"/>
      <c r="RPV20" s="21"/>
      <c r="RPW20" s="21"/>
      <c r="RPX20" s="21"/>
      <c r="RPY20" s="21"/>
      <c r="RPZ20" s="21"/>
      <c r="RQA20" s="21"/>
      <c r="RQB20" s="21"/>
      <c r="RQC20" s="21"/>
      <c r="RQD20" s="21"/>
      <c r="RQE20" s="21"/>
      <c r="RQF20" s="21"/>
      <c r="RQG20" s="21"/>
      <c r="RQH20" s="21"/>
      <c r="RQI20" s="21"/>
      <c r="RQJ20" s="21"/>
      <c r="RQK20" s="21"/>
      <c r="RQL20" s="21"/>
      <c r="RQM20" s="21"/>
      <c r="RQN20" s="21"/>
      <c r="RQO20" s="21"/>
      <c r="RQP20" s="21"/>
      <c r="RQQ20" s="21"/>
      <c r="RQR20" s="21"/>
      <c r="RQS20" s="21"/>
      <c r="RQT20" s="21"/>
      <c r="RQU20" s="21"/>
      <c r="RQV20" s="21"/>
      <c r="RQW20" s="21"/>
      <c r="RQX20" s="21"/>
      <c r="RQY20" s="21"/>
      <c r="RQZ20" s="21"/>
      <c r="RRA20" s="21"/>
      <c r="RRB20" s="21"/>
      <c r="RRC20" s="21"/>
      <c r="RRD20" s="21"/>
      <c r="RRE20" s="21"/>
      <c r="RRF20" s="21"/>
      <c r="RRG20" s="21"/>
      <c r="RRH20" s="21"/>
      <c r="RRI20" s="21"/>
      <c r="RRJ20" s="21"/>
      <c r="RRK20" s="21"/>
      <c r="RRL20" s="21"/>
      <c r="RRM20" s="21"/>
      <c r="RRN20" s="21"/>
      <c r="RRO20" s="21"/>
      <c r="RRP20" s="21"/>
      <c r="RRQ20" s="21"/>
      <c r="RRR20" s="21"/>
      <c r="RRS20" s="21"/>
      <c r="RRT20" s="21"/>
      <c r="RRU20" s="21"/>
      <c r="RRV20" s="21"/>
      <c r="RRW20" s="21"/>
      <c r="RRX20" s="21"/>
      <c r="RRY20" s="21"/>
      <c r="RRZ20" s="21"/>
      <c r="RSA20" s="21"/>
      <c r="RSB20" s="21"/>
      <c r="RSC20" s="21"/>
      <c r="RSD20" s="21"/>
      <c r="RSE20" s="21"/>
      <c r="RSF20" s="21"/>
      <c r="RSG20" s="21"/>
      <c r="RSH20" s="21"/>
      <c r="RSI20" s="21"/>
      <c r="RSJ20" s="21"/>
      <c r="RSK20" s="21"/>
      <c r="RSL20" s="21"/>
      <c r="RSM20" s="21"/>
      <c r="RSN20" s="21"/>
      <c r="RSO20" s="21"/>
      <c r="RSP20" s="21"/>
      <c r="RSQ20" s="21"/>
      <c r="RSR20" s="21"/>
      <c r="RSS20" s="21"/>
      <c r="RST20" s="21"/>
      <c r="RSU20" s="21"/>
      <c r="RSV20" s="21"/>
      <c r="RSW20" s="21"/>
      <c r="RSX20" s="21"/>
      <c r="RSY20" s="21"/>
      <c r="RSZ20" s="21"/>
      <c r="RTA20" s="21"/>
      <c r="RTB20" s="21"/>
      <c r="RTC20" s="21"/>
      <c r="RTD20" s="21"/>
      <c r="RTE20" s="21"/>
      <c r="RTF20" s="21"/>
      <c r="RTG20" s="21"/>
      <c r="RTH20" s="21"/>
      <c r="RTI20" s="21"/>
      <c r="RTJ20" s="21"/>
      <c r="RTK20" s="21"/>
      <c r="RTL20" s="21"/>
      <c r="RTM20" s="21"/>
      <c r="RTN20" s="21"/>
      <c r="RTO20" s="21"/>
      <c r="RTP20" s="21"/>
      <c r="RTQ20" s="21"/>
      <c r="RTR20" s="21"/>
      <c r="RTS20" s="21"/>
      <c r="RTT20" s="21"/>
      <c r="RTU20" s="21"/>
      <c r="RTV20" s="21"/>
      <c r="RTW20" s="21"/>
      <c r="RTX20" s="21"/>
      <c r="RTY20" s="21"/>
      <c r="RTZ20" s="21"/>
      <c r="RUA20" s="21"/>
      <c r="RUB20" s="21"/>
      <c r="RUC20" s="21"/>
      <c r="RUD20" s="21"/>
      <c r="RUE20" s="21"/>
      <c r="RUF20" s="21"/>
      <c r="RUG20" s="21"/>
      <c r="RUH20" s="21"/>
      <c r="RUI20" s="21"/>
      <c r="RUJ20" s="21"/>
      <c r="RUK20" s="21"/>
      <c r="RUL20" s="21"/>
      <c r="RUM20" s="21"/>
      <c r="RUN20" s="21"/>
      <c r="RUO20" s="21"/>
      <c r="RUP20" s="21"/>
      <c r="RUQ20" s="21"/>
      <c r="RUR20" s="21"/>
      <c r="RUS20" s="21"/>
      <c r="RUT20" s="21"/>
      <c r="RUU20" s="21"/>
      <c r="RUV20" s="21"/>
      <c r="RUW20" s="21"/>
      <c r="RUX20" s="21"/>
      <c r="RUY20" s="21"/>
      <c r="RUZ20" s="21"/>
      <c r="RVA20" s="21"/>
      <c r="RVB20" s="21"/>
      <c r="RVC20" s="21"/>
      <c r="RVD20" s="21"/>
      <c r="RVE20" s="21"/>
      <c r="RVF20" s="21"/>
      <c r="RVG20" s="21"/>
      <c r="RVH20" s="21"/>
      <c r="RVI20" s="21"/>
      <c r="RVJ20" s="21"/>
      <c r="RVK20" s="21"/>
      <c r="RVL20" s="21"/>
      <c r="RVM20" s="21"/>
      <c r="RVN20" s="21"/>
      <c r="RVO20" s="21"/>
      <c r="RVP20" s="21"/>
      <c r="RVQ20" s="21"/>
      <c r="RVR20" s="21"/>
      <c r="RVS20" s="21"/>
      <c r="RVT20" s="21"/>
      <c r="RVU20" s="21"/>
      <c r="RVV20" s="21"/>
      <c r="RVW20" s="21"/>
      <c r="RVX20" s="21"/>
      <c r="RVY20" s="21"/>
      <c r="RVZ20" s="21"/>
      <c r="RWA20" s="21"/>
      <c r="RWB20" s="21"/>
      <c r="RWC20" s="21"/>
      <c r="RWD20" s="21"/>
      <c r="RWE20" s="21"/>
      <c r="RWF20" s="21"/>
      <c r="RWG20" s="21"/>
      <c r="RWH20" s="21"/>
      <c r="RWI20" s="21"/>
      <c r="RWJ20" s="21"/>
      <c r="RWK20" s="21"/>
      <c r="RWL20" s="21"/>
      <c r="RWM20" s="21"/>
      <c r="RWN20" s="21"/>
      <c r="RWO20" s="21"/>
      <c r="RWP20" s="21"/>
      <c r="RWQ20" s="21"/>
      <c r="RWR20" s="21"/>
      <c r="RWS20" s="21"/>
      <c r="RWT20" s="21"/>
      <c r="RWU20" s="21"/>
      <c r="RWV20" s="21"/>
      <c r="RWW20" s="21"/>
      <c r="RWX20" s="21"/>
      <c r="RWY20" s="21"/>
      <c r="RWZ20" s="21"/>
      <c r="RXA20" s="21"/>
      <c r="RXB20" s="21"/>
      <c r="RXC20" s="21"/>
      <c r="RXD20" s="21"/>
      <c r="RXE20" s="21"/>
      <c r="RXF20" s="21"/>
      <c r="RXG20" s="21"/>
      <c r="RXH20" s="21"/>
      <c r="RXI20" s="21"/>
      <c r="RXJ20" s="21"/>
      <c r="RXK20" s="21"/>
      <c r="RXL20" s="21"/>
      <c r="RXM20" s="21"/>
      <c r="RXN20" s="21"/>
      <c r="RXO20" s="21"/>
      <c r="RXP20" s="21"/>
      <c r="RXQ20" s="21"/>
      <c r="RXR20" s="21"/>
      <c r="RXS20" s="21"/>
      <c r="RXT20" s="21"/>
      <c r="RXU20" s="21"/>
      <c r="RXV20" s="21"/>
      <c r="RXW20" s="21"/>
      <c r="RXX20" s="21"/>
      <c r="RXY20" s="21"/>
      <c r="RXZ20" s="21"/>
      <c r="RYA20" s="21"/>
      <c r="RYB20" s="21"/>
      <c r="RYC20" s="21"/>
      <c r="RYD20" s="21"/>
      <c r="RYE20" s="21"/>
      <c r="RYF20" s="21"/>
      <c r="RYG20" s="21"/>
      <c r="RYH20" s="21"/>
      <c r="RYI20" s="21"/>
      <c r="RYJ20" s="21"/>
      <c r="RYK20" s="21"/>
      <c r="RYL20" s="21"/>
      <c r="RYM20" s="21"/>
      <c r="RYN20" s="21"/>
      <c r="RYO20" s="21"/>
      <c r="RYP20" s="21"/>
      <c r="RYQ20" s="21"/>
      <c r="RYR20" s="21"/>
      <c r="RYS20" s="21"/>
      <c r="RYT20" s="21"/>
      <c r="RYU20" s="21"/>
      <c r="RYV20" s="21"/>
      <c r="RYW20" s="21"/>
      <c r="RYX20" s="21"/>
      <c r="RYY20" s="21"/>
      <c r="RYZ20" s="21"/>
      <c r="RZA20" s="21"/>
      <c r="RZB20" s="21"/>
      <c r="RZC20" s="21"/>
      <c r="RZD20" s="21"/>
      <c r="RZE20" s="21"/>
      <c r="RZF20" s="21"/>
      <c r="RZG20" s="21"/>
      <c r="RZH20" s="21"/>
      <c r="RZI20" s="21"/>
      <c r="RZJ20" s="21"/>
      <c r="RZK20" s="21"/>
      <c r="RZL20" s="21"/>
      <c r="RZM20" s="21"/>
      <c r="RZN20" s="21"/>
      <c r="RZO20" s="21"/>
      <c r="RZP20" s="21"/>
      <c r="RZQ20" s="21"/>
      <c r="RZR20" s="21"/>
      <c r="RZS20" s="21"/>
      <c r="RZT20" s="21"/>
      <c r="RZU20" s="21"/>
      <c r="RZV20" s="21"/>
      <c r="RZW20" s="21"/>
      <c r="RZX20" s="21"/>
      <c r="RZY20" s="21"/>
      <c r="RZZ20" s="21"/>
      <c r="SAA20" s="21"/>
      <c r="SAB20" s="21"/>
      <c r="SAC20" s="21"/>
      <c r="SAD20" s="21"/>
      <c r="SAE20" s="21"/>
      <c r="SAF20" s="21"/>
      <c r="SAG20" s="21"/>
      <c r="SAH20" s="21"/>
      <c r="SAI20" s="21"/>
      <c r="SAJ20" s="21"/>
      <c r="SAK20" s="21"/>
      <c r="SAL20" s="21"/>
      <c r="SAM20" s="21"/>
      <c r="SAN20" s="21"/>
      <c r="SAO20" s="21"/>
      <c r="SAP20" s="21"/>
      <c r="SAQ20" s="21"/>
      <c r="SAR20" s="21"/>
      <c r="SAS20" s="21"/>
      <c r="SAT20" s="21"/>
      <c r="SAU20" s="21"/>
      <c r="SAV20" s="21"/>
      <c r="SAW20" s="21"/>
      <c r="SAX20" s="21"/>
      <c r="SAY20" s="21"/>
      <c r="SAZ20" s="21"/>
      <c r="SBA20" s="21"/>
      <c r="SBB20" s="21"/>
      <c r="SBC20" s="21"/>
      <c r="SBD20" s="21"/>
      <c r="SBE20" s="21"/>
      <c r="SBF20" s="21"/>
      <c r="SBG20" s="21"/>
      <c r="SBH20" s="21"/>
      <c r="SBI20" s="21"/>
      <c r="SBJ20" s="21"/>
      <c r="SBK20" s="21"/>
      <c r="SBL20" s="21"/>
      <c r="SBM20" s="21"/>
      <c r="SBN20" s="21"/>
      <c r="SBO20" s="21"/>
      <c r="SBP20" s="21"/>
      <c r="SBQ20" s="21"/>
      <c r="SBR20" s="21"/>
      <c r="SBS20" s="21"/>
      <c r="SBT20" s="21"/>
      <c r="SBU20" s="21"/>
      <c r="SBV20" s="21"/>
      <c r="SBW20" s="21"/>
      <c r="SBX20" s="21"/>
      <c r="SBY20" s="21"/>
      <c r="SBZ20" s="21"/>
      <c r="SCA20" s="21"/>
      <c r="SCB20" s="21"/>
      <c r="SCC20" s="21"/>
      <c r="SCD20" s="21"/>
      <c r="SCE20" s="21"/>
      <c r="SCF20" s="21"/>
      <c r="SCG20" s="21"/>
      <c r="SCH20" s="21"/>
      <c r="SCI20" s="21"/>
      <c r="SCJ20" s="21"/>
      <c r="SCK20" s="21"/>
      <c r="SCL20" s="21"/>
      <c r="SCM20" s="21"/>
      <c r="SCN20" s="21"/>
      <c r="SCO20" s="21"/>
      <c r="SCP20" s="21"/>
      <c r="SCQ20" s="21"/>
      <c r="SCR20" s="21"/>
      <c r="SCS20" s="21"/>
      <c r="SCT20" s="21"/>
      <c r="SCU20" s="21"/>
      <c r="SCV20" s="21"/>
      <c r="SCW20" s="21"/>
      <c r="SCX20" s="21"/>
      <c r="SCY20" s="21"/>
      <c r="SCZ20" s="21"/>
      <c r="SDA20" s="21"/>
      <c r="SDB20" s="21"/>
      <c r="SDC20" s="21"/>
      <c r="SDD20" s="21"/>
      <c r="SDE20" s="21"/>
      <c r="SDF20" s="21"/>
      <c r="SDG20" s="21"/>
      <c r="SDH20" s="21"/>
      <c r="SDI20" s="21"/>
      <c r="SDJ20" s="21"/>
      <c r="SDK20" s="21"/>
      <c r="SDL20" s="21"/>
      <c r="SDM20" s="21"/>
      <c r="SDN20" s="21"/>
      <c r="SDO20" s="21"/>
      <c r="SDP20" s="21"/>
      <c r="SDQ20" s="21"/>
      <c r="SDR20" s="21"/>
      <c r="SDS20" s="21"/>
      <c r="SDT20" s="21"/>
      <c r="SDU20" s="21"/>
      <c r="SDV20" s="21"/>
      <c r="SDW20" s="21"/>
      <c r="SDX20" s="21"/>
      <c r="SDY20" s="21"/>
      <c r="SDZ20" s="21"/>
      <c r="SEA20" s="21"/>
      <c r="SEB20" s="21"/>
      <c r="SEC20" s="21"/>
      <c r="SED20" s="21"/>
      <c r="SEE20" s="21"/>
      <c r="SEF20" s="21"/>
      <c r="SEG20" s="21"/>
      <c r="SEH20" s="21"/>
      <c r="SEI20" s="21"/>
      <c r="SEJ20" s="21"/>
      <c r="SEK20" s="21"/>
      <c r="SEL20" s="21"/>
      <c r="SEM20" s="21"/>
      <c r="SEN20" s="21"/>
      <c r="SEO20" s="21"/>
      <c r="SEP20" s="21"/>
      <c r="SEQ20" s="21"/>
      <c r="SER20" s="21"/>
      <c r="SES20" s="21"/>
      <c r="SET20" s="21"/>
      <c r="SEU20" s="21"/>
      <c r="SEV20" s="21"/>
      <c r="SEW20" s="21"/>
      <c r="SEX20" s="21"/>
      <c r="SEY20" s="21"/>
      <c r="SEZ20" s="21"/>
      <c r="SFA20" s="21"/>
      <c r="SFB20" s="21"/>
      <c r="SFC20" s="21"/>
      <c r="SFD20" s="21"/>
      <c r="SFE20" s="21"/>
      <c r="SFF20" s="21"/>
      <c r="SFG20" s="21"/>
      <c r="SFH20" s="21"/>
      <c r="SFI20" s="21"/>
      <c r="SFJ20" s="21"/>
      <c r="SFK20" s="21"/>
      <c r="SFL20" s="21"/>
      <c r="SFM20" s="21"/>
      <c r="SFN20" s="21"/>
      <c r="SFO20" s="21"/>
      <c r="SFP20" s="21"/>
      <c r="SFQ20" s="21"/>
      <c r="SFR20" s="21"/>
      <c r="SFS20" s="21"/>
      <c r="SFT20" s="21"/>
      <c r="SFU20" s="21"/>
      <c r="SFV20" s="21"/>
      <c r="SFW20" s="21"/>
      <c r="SFX20" s="21"/>
      <c r="SFY20" s="21"/>
      <c r="SFZ20" s="21"/>
      <c r="SGA20" s="21"/>
      <c r="SGB20" s="21"/>
      <c r="SGC20" s="21"/>
      <c r="SGD20" s="21"/>
      <c r="SGE20" s="21"/>
      <c r="SGF20" s="21"/>
      <c r="SGG20" s="21"/>
      <c r="SGH20" s="21"/>
      <c r="SGI20" s="21"/>
      <c r="SGJ20" s="21"/>
      <c r="SGK20" s="21"/>
      <c r="SGL20" s="21"/>
      <c r="SGM20" s="21"/>
      <c r="SGN20" s="21"/>
      <c r="SGO20" s="21"/>
      <c r="SGP20" s="21"/>
      <c r="SGQ20" s="21"/>
      <c r="SGR20" s="21"/>
      <c r="SGS20" s="21"/>
      <c r="SGT20" s="21"/>
      <c r="SGU20" s="21"/>
      <c r="SGV20" s="21"/>
      <c r="SGW20" s="21"/>
      <c r="SGX20" s="21"/>
      <c r="SGY20" s="21"/>
      <c r="SGZ20" s="21"/>
      <c r="SHA20" s="21"/>
      <c r="SHB20" s="21"/>
      <c r="SHC20" s="21"/>
      <c r="SHD20" s="21"/>
      <c r="SHE20" s="21"/>
      <c r="SHF20" s="21"/>
      <c r="SHG20" s="21"/>
      <c r="SHH20" s="21"/>
      <c r="SHI20" s="21"/>
      <c r="SHJ20" s="21"/>
      <c r="SHK20" s="21"/>
      <c r="SHL20" s="21"/>
      <c r="SHM20" s="21"/>
      <c r="SHN20" s="21"/>
      <c r="SHO20" s="21"/>
      <c r="SHP20" s="21"/>
      <c r="SHQ20" s="21"/>
      <c r="SHR20" s="21"/>
      <c r="SHS20" s="21"/>
      <c r="SHT20" s="21"/>
      <c r="SHU20" s="21"/>
      <c r="SHV20" s="21"/>
      <c r="SHW20" s="21"/>
      <c r="SHX20" s="21"/>
      <c r="SHY20" s="21"/>
      <c r="SHZ20" s="21"/>
      <c r="SIA20" s="21"/>
      <c r="SIB20" s="21"/>
      <c r="SIC20" s="21"/>
      <c r="SID20" s="21"/>
      <c r="SIE20" s="21"/>
      <c r="SIF20" s="21"/>
      <c r="SIG20" s="21"/>
      <c r="SIH20" s="21"/>
      <c r="SII20" s="21"/>
      <c r="SIJ20" s="21"/>
      <c r="SIK20" s="21"/>
      <c r="SIL20" s="21"/>
      <c r="SIM20" s="21"/>
      <c r="SIN20" s="21"/>
      <c r="SIO20" s="21"/>
      <c r="SIP20" s="21"/>
      <c r="SIQ20" s="21"/>
      <c r="SIR20" s="21"/>
      <c r="SIS20" s="21"/>
      <c r="SIT20" s="21"/>
      <c r="SIU20" s="21"/>
      <c r="SIV20" s="21"/>
      <c r="SIW20" s="21"/>
      <c r="SIX20" s="21"/>
      <c r="SIY20" s="21"/>
      <c r="SIZ20" s="21"/>
      <c r="SJA20" s="21"/>
      <c r="SJB20" s="21"/>
      <c r="SJC20" s="21"/>
      <c r="SJD20" s="21"/>
      <c r="SJE20" s="21"/>
      <c r="SJF20" s="21"/>
      <c r="SJG20" s="21"/>
      <c r="SJH20" s="21"/>
      <c r="SJI20" s="21"/>
      <c r="SJJ20" s="21"/>
      <c r="SJK20" s="21"/>
      <c r="SJL20" s="21"/>
      <c r="SJM20" s="21"/>
      <c r="SJN20" s="21"/>
      <c r="SJO20" s="21"/>
      <c r="SJP20" s="21"/>
      <c r="SJQ20" s="21"/>
      <c r="SJR20" s="21"/>
      <c r="SJS20" s="21"/>
      <c r="SJT20" s="21"/>
      <c r="SJU20" s="21"/>
      <c r="SJV20" s="21"/>
      <c r="SJW20" s="21"/>
      <c r="SJX20" s="21"/>
      <c r="SJY20" s="21"/>
      <c r="SJZ20" s="21"/>
      <c r="SKA20" s="21"/>
      <c r="SKB20" s="21"/>
      <c r="SKC20" s="21"/>
      <c r="SKD20" s="21"/>
      <c r="SKE20" s="21"/>
      <c r="SKF20" s="21"/>
      <c r="SKG20" s="21"/>
      <c r="SKH20" s="21"/>
      <c r="SKI20" s="21"/>
      <c r="SKJ20" s="21"/>
      <c r="SKK20" s="21"/>
      <c r="SKL20" s="21"/>
      <c r="SKM20" s="21"/>
      <c r="SKN20" s="21"/>
      <c r="SKO20" s="21"/>
      <c r="SKP20" s="21"/>
      <c r="SKQ20" s="21"/>
      <c r="SKR20" s="21"/>
      <c r="SKS20" s="21"/>
      <c r="SKT20" s="21"/>
      <c r="SKU20" s="21"/>
      <c r="SKV20" s="21"/>
      <c r="SKW20" s="21"/>
      <c r="SKX20" s="21"/>
      <c r="SKY20" s="21"/>
      <c r="SKZ20" s="21"/>
      <c r="SLA20" s="21"/>
      <c r="SLB20" s="21"/>
      <c r="SLC20" s="21"/>
      <c r="SLD20" s="21"/>
      <c r="SLE20" s="21"/>
      <c r="SLF20" s="21"/>
      <c r="SLG20" s="21"/>
      <c r="SLH20" s="21"/>
      <c r="SLI20" s="21"/>
      <c r="SLJ20" s="21"/>
      <c r="SLK20" s="21"/>
      <c r="SLL20" s="21"/>
      <c r="SLM20" s="21"/>
      <c r="SLN20" s="21"/>
      <c r="SLO20" s="21"/>
      <c r="SLP20" s="21"/>
      <c r="SLQ20" s="21"/>
      <c r="SLR20" s="21"/>
      <c r="SLS20" s="21"/>
      <c r="SLT20" s="21"/>
      <c r="SLU20" s="21"/>
      <c r="SLV20" s="21"/>
      <c r="SLW20" s="21"/>
      <c r="SLX20" s="21"/>
      <c r="SLY20" s="21"/>
      <c r="SLZ20" s="21"/>
      <c r="SMA20" s="21"/>
      <c r="SMB20" s="21"/>
      <c r="SMC20" s="21"/>
      <c r="SMD20" s="21"/>
      <c r="SME20" s="21"/>
      <c r="SMF20" s="21"/>
      <c r="SMG20" s="21"/>
      <c r="SMH20" s="21"/>
      <c r="SMI20" s="21"/>
      <c r="SMJ20" s="21"/>
      <c r="SMK20" s="21"/>
      <c r="SML20" s="21"/>
      <c r="SMM20" s="21"/>
      <c r="SMN20" s="21"/>
      <c r="SMO20" s="21"/>
      <c r="SMP20" s="21"/>
      <c r="SMQ20" s="21"/>
      <c r="SMR20" s="21"/>
      <c r="SMS20" s="21"/>
      <c r="SMT20" s="21"/>
      <c r="SMU20" s="21"/>
      <c r="SMV20" s="21"/>
      <c r="SMW20" s="21"/>
      <c r="SMX20" s="21"/>
      <c r="SMY20" s="21"/>
      <c r="SMZ20" s="21"/>
      <c r="SNA20" s="21"/>
      <c r="SNB20" s="21"/>
      <c r="SNC20" s="21"/>
      <c r="SND20" s="21"/>
      <c r="SNE20" s="21"/>
      <c r="SNF20" s="21"/>
      <c r="SNG20" s="21"/>
      <c r="SNH20" s="21"/>
      <c r="SNI20" s="21"/>
      <c r="SNJ20" s="21"/>
      <c r="SNK20" s="21"/>
      <c r="SNL20" s="21"/>
      <c r="SNM20" s="21"/>
      <c r="SNN20" s="21"/>
      <c r="SNO20" s="21"/>
      <c r="SNP20" s="21"/>
      <c r="SNQ20" s="21"/>
      <c r="SNR20" s="21"/>
      <c r="SNS20" s="21"/>
      <c r="SNT20" s="21"/>
      <c r="SNU20" s="21"/>
      <c r="SNV20" s="21"/>
      <c r="SNW20" s="21"/>
      <c r="SNX20" s="21"/>
      <c r="SNY20" s="21"/>
      <c r="SNZ20" s="21"/>
      <c r="SOA20" s="21"/>
      <c r="SOB20" s="21"/>
      <c r="SOC20" s="21"/>
      <c r="SOD20" s="21"/>
      <c r="SOE20" s="21"/>
      <c r="SOF20" s="21"/>
      <c r="SOG20" s="21"/>
      <c r="SOH20" s="21"/>
      <c r="SOI20" s="21"/>
      <c r="SOJ20" s="21"/>
      <c r="SOK20" s="21"/>
      <c r="SOL20" s="21"/>
      <c r="SOM20" s="21"/>
      <c r="SON20" s="21"/>
      <c r="SOO20" s="21"/>
      <c r="SOP20" s="21"/>
      <c r="SOQ20" s="21"/>
      <c r="SOR20" s="21"/>
      <c r="SOS20" s="21"/>
      <c r="SOT20" s="21"/>
      <c r="SOU20" s="21"/>
      <c r="SOV20" s="21"/>
      <c r="SOW20" s="21"/>
      <c r="SOX20" s="21"/>
      <c r="SOY20" s="21"/>
      <c r="SOZ20" s="21"/>
      <c r="SPA20" s="21"/>
      <c r="SPB20" s="21"/>
      <c r="SPC20" s="21"/>
      <c r="SPD20" s="21"/>
      <c r="SPE20" s="21"/>
      <c r="SPF20" s="21"/>
      <c r="SPG20" s="21"/>
      <c r="SPH20" s="21"/>
      <c r="SPI20" s="21"/>
      <c r="SPJ20" s="21"/>
      <c r="SPK20" s="21"/>
      <c r="SPL20" s="21"/>
      <c r="SPM20" s="21"/>
      <c r="SPN20" s="21"/>
      <c r="SPO20" s="21"/>
      <c r="SPP20" s="21"/>
      <c r="SPQ20" s="21"/>
      <c r="SPR20" s="21"/>
      <c r="SPS20" s="21"/>
      <c r="SPT20" s="21"/>
      <c r="SPU20" s="21"/>
      <c r="SPV20" s="21"/>
      <c r="SPW20" s="21"/>
      <c r="SPX20" s="21"/>
      <c r="SPY20" s="21"/>
      <c r="SPZ20" s="21"/>
      <c r="SQA20" s="21"/>
      <c r="SQB20" s="21"/>
      <c r="SQC20" s="21"/>
      <c r="SQD20" s="21"/>
      <c r="SQE20" s="21"/>
      <c r="SQF20" s="21"/>
      <c r="SQG20" s="21"/>
      <c r="SQH20" s="21"/>
      <c r="SQI20" s="21"/>
      <c r="SQJ20" s="21"/>
      <c r="SQK20" s="21"/>
      <c r="SQL20" s="21"/>
      <c r="SQM20" s="21"/>
      <c r="SQN20" s="21"/>
      <c r="SQO20" s="21"/>
      <c r="SQP20" s="21"/>
      <c r="SQQ20" s="21"/>
      <c r="SQR20" s="21"/>
      <c r="SQS20" s="21"/>
      <c r="SQT20" s="21"/>
      <c r="SQU20" s="21"/>
      <c r="SQV20" s="21"/>
      <c r="SQW20" s="21"/>
      <c r="SQX20" s="21"/>
      <c r="SQY20" s="21"/>
      <c r="SQZ20" s="21"/>
      <c r="SRA20" s="21"/>
      <c r="SRB20" s="21"/>
      <c r="SRC20" s="21"/>
      <c r="SRD20" s="21"/>
      <c r="SRE20" s="21"/>
      <c r="SRF20" s="21"/>
      <c r="SRG20" s="21"/>
      <c r="SRH20" s="21"/>
      <c r="SRI20" s="21"/>
      <c r="SRJ20" s="21"/>
      <c r="SRK20" s="21"/>
      <c r="SRL20" s="21"/>
      <c r="SRM20" s="21"/>
      <c r="SRN20" s="21"/>
      <c r="SRO20" s="21"/>
      <c r="SRP20" s="21"/>
      <c r="SRQ20" s="21"/>
      <c r="SRR20" s="21"/>
      <c r="SRS20" s="21"/>
      <c r="SRT20" s="21"/>
      <c r="SRU20" s="21"/>
      <c r="SRV20" s="21"/>
      <c r="SRW20" s="21"/>
      <c r="SRX20" s="21"/>
      <c r="SRY20" s="21"/>
      <c r="SRZ20" s="21"/>
      <c r="SSA20" s="21"/>
      <c r="SSB20" s="21"/>
      <c r="SSC20" s="21"/>
      <c r="SSD20" s="21"/>
      <c r="SSE20" s="21"/>
      <c r="SSF20" s="21"/>
      <c r="SSG20" s="21"/>
      <c r="SSH20" s="21"/>
      <c r="SSI20" s="21"/>
      <c r="SSJ20" s="21"/>
      <c r="SSK20" s="21"/>
      <c r="SSL20" s="21"/>
      <c r="SSM20" s="21"/>
      <c r="SSN20" s="21"/>
      <c r="SSO20" s="21"/>
      <c r="SSP20" s="21"/>
      <c r="SSQ20" s="21"/>
      <c r="SSR20" s="21"/>
      <c r="SSS20" s="21"/>
      <c r="SST20" s="21"/>
      <c r="SSU20" s="21"/>
      <c r="SSV20" s="21"/>
      <c r="SSW20" s="21"/>
      <c r="SSX20" s="21"/>
      <c r="SSY20" s="21"/>
      <c r="SSZ20" s="21"/>
      <c r="STA20" s="21"/>
      <c r="STB20" s="21"/>
      <c r="STC20" s="21"/>
      <c r="STD20" s="21"/>
      <c r="STE20" s="21"/>
      <c r="STF20" s="21"/>
      <c r="STG20" s="21"/>
      <c r="STH20" s="21"/>
      <c r="STI20" s="21"/>
      <c r="STJ20" s="21"/>
      <c r="STK20" s="21"/>
      <c r="STL20" s="21"/>
      <c r="STM20" s="21"/>
      <c r="STN20" s="21"/>
      <c r="STO20" s="21"/>
      <c r="STP20" s="21"/>
      <c r="STQ20" s="21"/>
      <c r="STR20" s="21"/>
      <c r="STS20" s="21"/>
      <c r="STT20" s="21"/>
      <c r="STU20" s="21"/>
      <c r="STV20" s="21"/>
      <c r="STW20" s="21"/>
      <c r="STX20" s="21"/>
      <c r="STY20" s="21"/>
      <c r="STZ20" s="21"/>
      <c r="SUA20" s="21"/>
      <c r="SUB20" s="21"/>
      <c r="SUC20" s="21"/>
      <c r="SUD20" s="21"/>
      <c r="SUE20" s="21"/>
      <c r="SUF20" s="21"/>
      <c r="SUG20" s="21"/>
      <c r="SUH20" s="21"/>
      <c r="SUI20" s="21"/>
      <c r="SUJ20" s="21"/>
      <c r="SUK20" s="21"/>
      <c r="SUL20" s="21"/>
      <c r="SUM20" s="21"/>
      <c r="SUN20" s="21"/>
      <c r="SUO20" s="21"/>
      <c r="SUP20" s="21"/>
      <c r="SUQ20" s="21"/>
      <c r="SUR20" s="21"/>
      <c r="SUS20" s="21"/>
      <c r="SUT20" s="21"/>
      <c r="SUU20" s="21"/>
      <c r="SUV20" s="21"/>
      <c r="SUW20" s="21"/>
      <c r="SUX20" s="21"/>
      <c r="SUY20" s="21"/>
      <c r="SUZ20" s="21"/>
      <c r="SVA20" s="21"/>
      <c r="SVB20" s="21"/>
      <c r="SVC20" s="21"/>
      <c r="SVD20" s="21"/>
      <c r="SVE20" s="21"/>
      <c r="SVF20" s="21"/>
      <c r="SVG20" s="21"/>
      <c r="SVH20" s="21"/>
      <c r="SVI20" s="21"/>
      <c r="SVJ20" s="21"/>
      <c r="SVK20" s="21"/>
      <c r="SVL20" s="21"/>
      <c r="SVM20" s="21"/>
      <c r="SVN20" s="21"/>
      <c r="SVO20" s="21"/>
      <c r="SVP20" s="21"/>
      <c r="SVQ20" s="21"/>
      <c r="SVR20" s="21"/>
      <c r="SVS20" s="21"/>
      <c r="SVT20" s="21"/>
      <c r="SVU20" s="21"/>
      <c r="SVV20" s="21"/>
      <c r="SVW20" s="21"/>
      <c r="SVX20" s="21"/>
      <c r="SVY20" s="21"/>
      <c r="SVZ20" s="21"/>
      <c r="SWA20" s="21"/>
      <c r="SWB20" s="21"/>
      <c r="SWC20" s="21"/>
      <c r="SWD20" s="21"/>
      <c r="SWE20" s="21"/>
      <c r="SWF20" s="21"/>
      <c r="SWG20" s="21"/>
      <c r="SWH20" s="21"/>
      <c r="SWI20" s="21"/>
      <c r="SWJ20" s="21"/>
      <c r="SWK20" s="21"/>
      <c r="SWL20" s="21"/>
      <c r="SWM20" s="21"/>
      <c r="SWN20" s="21"/>
      <c r="SWO20" s="21"/>
      <c r="SWP20" s="21"/>
      <c r="SWQ20" s="21"/>
      <c r="SWR20" s="21"/>
      <c r="SWS20" s="21"/>
      <c r="SWT20" s="21"/>
      <c r="SWU20" s="21"/>
      <c r="SWV20" s="21"/>
      <c r="SWW20" s="21"/>
      <c r="SWX20" s="21"/>
      <c r="SWY20" s="21"/>
      <c r="SWZ20" s="21"/>
      <c r="SXA20" s="21"/>
      <c r="SXB20" s="21"/>
      <c r="SXC20" s="21"/>
      <c r="SXD20" s="21"/>
      <c r="SXE20" s="21"/>
      <c r="SXF20" s="21"/>
      <c r="SXG20" s="21"/>
      <c r="SXH20" s="21"/>
      <c r="SXI20" s="21"/>
      <c r="SXJ20" s="21"/>
      <c r="SXK20" s="21"/>
      <c r="SXL20" s="21"/>
      <c r="SXM20" s="21"/>
      <c r="SXN20" s="21"/>
      <c r="SXO20" s="21"/>
      <c r="SXP20" s="21"/>
      <c r="SXQ20" s="21"/>
      <c r="SXR20" s="21"/>
      <c r="SXS20" s="21"/>
      <c r="SXT20" s="21"/>
      <c r="SXU20" s="21"/>
      <c r="SXV20" s="21"/>
      <c r="SXW20" s="21"/>
      <c r="SXX20" s="21"/>
      <c r="SXY20" s="21"/>
      <c r="SXZ20" s="21"/>
      <c r="SYA20" s="21"/>
      <c r="SYB20" s="21"/>
      <c r="SYC20" s="21"/>
      <c r="SYD20" s="21"/>
      <c r="SYE20" s="21"/>
      <c r="SYF20" s="21"/>
      <c r="SYG20" s="21"/>
      <c r="SYH20" s="21"/>
      <c r="SYI20" s="21"/>
      <c r="SYJ20" s="21"/>
      <c r="SYK20" s="21"/>
      <c r="SYL20" s="21"/>
      <c r="SYM20" s="21"/>
      <c r="SYN20" s="21"/>
      <c r="SYO20" s="21"/>
      <c r="SYP20" s="21"/>
      <c r="SYQ20" s="21"/>
      <c r="SYR20" s="21"/>
      <c r="SYS20" s="21"/>
      <c r="SYT20" s="21"/>
      <c r="SYU20" s="21"/>
      <c r="SYV20" s="21"/>
      <c r="SYW20" s="21"/>
      <c r="SYX20" s="21"/>
      <c r="SYY20" s="21"/>
      <c r="SYZ20" s="21"/>
      <c r="SZA20" s="21"/>
      <c r="SZB20" s="21"/>
      <c r="SZC20" s="21"/>
      <c r="SZD20" s="21"/>
      <c r="SZE20" s="21"/>
      <c r="SZF20" s="21"/>
      <c r="SZG20" s="21"/>
      <c r="SZH20" s="21"/>
      <c r="SZI20" s="21"/>
      <c r="SZJ20" s="21"/>
      <c r="SZK20" s="21"/>
      <c r="SZL20" s="21"/>
      <c r="SZM20" s="21"/>
      <c r="SZN20" s="21"/>
      <c r="SZO20" s="21"/>
      <c r="SZP20" s="21"/>
      <c r="SZQ20" s="21"/>
      <c r="SZR20" s="21"/>
      <c r="SZS20" s="21"/>
      <c r="SZT20" s="21"/>
      <c r="SZU20" s="21"/>
      <c r="SZV20" s="21"/>
      <c r="SZW20" s="21"/>
      <c r="SZX20" s="21"/>
      <c r="SZY20" s="21"/>
      <c r="SZZ20" s="21"/>
      <c r="TAA20" s="21"/>
      <c r="TAB20" s="21"/>
      <c r="TAC20" s="21"/>
      <c r="TAD20" s="21"/>
      <c r="TAE20" s="21"/>
      <c r="TAF20" s="21"/>
      <c r="TAG20" s="21"/>
      <c r="TAH20" s="21"/>
      <c r="TAI20" s="21"/>
      <c r="TAJ20" s="21"/>
      <c r="TAK20" s="21"/>
      <c r="TAL20" s="21"/>
      <c r="TAM20" s="21"/>
      <c r="TAN20" s="21"/>
      <c r="TAO20" s="21"/>
      <c r="TAP20" s="21"/>
      <c r="TAQ20" s="21"/>
      <c r="TAR20" s="21"/>
      <c r="TAS20" s="21"/>
      <c r="TAT20" s="21"/>
      <c r="TAU20" s="21"/>
      <c r="TAV20" s="21"/>
      <c r="TAW20" s="21"/>
      <c r="TAX20" s="21"/>
      <c r="TAY20" s="21"/>
      <c r="TAZ20" s="21"/>
      <c r="TBA20" s="21"/>
      <c r="TBB20" s="21"/>
      <c r="TBC20" s="21"/>
      <c r="TBD20" s="21"/>
      <c r="TBE20" s="21"/>
      <c r="TBF20" s="21"/>
      <c r="TBG20" s="21"/>
      <c r="TBH20" s="21"/>
      <c r="TBI20" s="21"/>
      <c r="TBJ20" s="21"/>
      <c r="TBK20" s="21"/>
      <c r="TBL20" s="21"/>
      <c r="TBM20" s="21"/>
      <c r="TBN20" s="21"/>
      <c r="TBO20" s="21"/>
      <c r="TBP20" s="21"/>
      <c r="TBQ20" s="21"/>
      <c r="TBR20" s="21"/>
      <c r="TBS20" s="21"/>
      <c r="TBT20" s="21"/>
      <c r="TBU20" s="21"/>
      <c r="TBV20" s="21"/>
      <c r="TBW20" s="21"/>
      <c r="TBX20" s="21"/>
      <c r="TBY20" s="21"/>
      <c r="TBZ20" s="21"/>
      <c r="TCA20" s="21"/>
      <c r="TCB20" s="21"/>
      <c r="TCC20" s="21"/>
      <c r="TCD20" s="21"/>
      <c r="TCE20" s="21"/>
      <c r="TCF20" s="21"/>
      <c r="TCG20" s="21"/>
      <c r="TCH20" s="21"/>
      <c r="TCI20" s="21"/>
      <c r="TCJ20" s="21"/>
      <c r="TCK20" s="21"/>
      <c r="TCL20" s="21"/>
      <c r="TCM20" s="21"/>
      <c r="TCN20" s="21"/>
      <c r="TCO20" s="21"/>
      <c r="TCP20" s="21"/>
      <c r="TCQ20" s="21"/>
      <c r="TCR20" s="21"/>
      <c r="TCS20" s="21"/>
      <c r="TCT20" s="21"/>
      <c r="TCU20" s="21"/>
      <c r="TCV20" s="21"/>
      <c r="TCW20" s="21"/>
      <c r="TCX20" s="21"/>
      <c r="TCY20" s="21"/>
      <c r="TCZ20" s="21"/>
      <c r="TDA20" s="21"/>
      <c r="TDB20" s="21"/>
      <c r="TDC20" s="21"/>
      <c r="TDD20" s="21"/>
      <c r="TDE20" s="21"/>
      <c r="TDF20" s="21"/>
      <c r="TDG20" s="21"/>
      <c r="TDH20" s="21"/>
      <c r="TDI20" s="21"/>
      <c r="TDJ20" s="21"/>
      <c r="TDK20" s="21"/>
      <c r="TDL20" s="21"/>
      <c r="TDM20" s="21"/>
      <c r="TDN20" s="21"/>
      <c r="TDO20" s="21"/>
      <c r="TDP20" s="21"/>
      <c r="TDQ20" s="21"/>
      <c r="TDR20" s="21"/>
      <c r="TDS20" s="21"/>
      <c r="TDT20" s="21"/>
      <c r="TDU20" s="21"/>
      <c r="TDV20" s="21"/>
      <c r="TDW20" s="21"/>
      <c r="TDX20" s="21"/>
      <c r="TDY20" s="21"/>
      <c r="TDZ20" s="21"/>
      <c r="TEA20" s="21"/>
      <c r="TEB20" s="21"/>
      <c r="TEC20" s="21"/>
      <c r="TED20" s="21"/>
      <c r="TEE20" s="21"/>
      <c r="TEF20" s="21"/>
      <c r="TEG20" s="21"/>
      <c r="TEH20" s="21"/>
      <c r="TEI20" s="21"/>
      <c r="TEJ20" s="21"/>
      <c r="TEK20" s="21"/>
      <c r="TEL20" s="21"/>
      <c r="TEM20" s="21"/>
      <c r="TEN20" s="21"/>
      <c r="TEO20" s="21"/>
      <c r="TEP20" s="21"/>
      <c r="TEQ20" s="21"/>
      <c r="TER20" s="21"/>
      <c r="TES20" s="21"/>
      <c r="TET20" s="21"/>
      <c r="TEU20" s="21"/>
      <c r="TEV20" s="21"/>
      <c r="TEW20" s="21"/>
      <c r="TEX20" s="21"/>
      <c r="TEY20" s="21"/>
      <c r="TEZ20" s="21"/>
      <c r="TFA20" s="21"/>
      <c r="TFB20" s="21"/>
      <c r="TFC20" s="21"/>
      <c r="TFD20" s="21"/>
      <c r="TFE20" s="21"/>
      <c r="TFF20" s="21"/>
      <c r="TFG20" s="21"/>
      <c r="TFH20" s="21"/>
      <c r="TFI20" s="21"/>
      <c r="TFJ20" s="21"/>
      <c r="TFK20" s="21"/>
      <c r="TFL20" s="21"/>
      <c r="TFM20" s="21"/>
      <c r="TFN20" s="21"/>
      <c r="TFO20" s="21"/>
      <c r="TFP20" s="21"/>
      <c r="TFQ20" s="21"/>
      <c r="TFR20" s="21"/>
      <c r="TFS20" s="21"/>
      <c r="TFT20" s="21"/>
      <c r="TFU20" s="21"/>
      <c r="TFV20" s="21"/>
      <c r="TFW20" s="21"/>
      <c r="TFX20" s="21"/>
      <c r="TFY20" s="21"/>
      <c r="TFZ20" s="21"/>
      <c r="TGA20" s="21"/>
      <c r="TGB20" s="21"/>
      <c r="TGC20" s="21"/>
      <c r="TGD20" s="21"/>
      <c r="TGE20" s="21"/>
      <c r="TGF20" s="21"/>
      <c r="TGG20" s="21"/>
      <c r="TGH20" s="21"/>
      <c r="TGI20" s="21"/>
      <c r="TGJ20" s="21"/>
      <c r="TGK20" s="21"/>
      <c r="TGL20" s="21"/>
      <c r="TGM20" s="21"/>
      <c r="TGN20" s="21"/>
      <c r="TGO20" s="21"/>
      <c r="TGP20" s="21"/>
      <c r="TGQ20" s="21"/>
      <c r="TGR20" s="21"/>
      <c r="TGS20" s="21"/>
      <c r="TGT20" s="21"/>
      <c r="TGU20" s="21"/>
      <c r="TGV20" s="21"/>
      <c r="TGW20" s="21"/>
      <c r="TGX20" s="21"/>
      <c r="TGY20" s="21"/>
      <c r="TGZ20" s="21"/>
      <c r="THA20" s="21"/>
      <c r="THB20" s="21"/>
      <c r="THC20" s="21"/>
      <c r="THD20" s="21"/>
      <c r="THE20" s="21"/>
      <c r="THF20" s="21"/>
      <c r="THG20" s="21"/>
      <c r="THH20" s="21"/>
      <c r="THI20" s="21"/>
      <c r="THJ20" s="21"/>
      <c r="THK20" s="21"/>
      <c r="THL20" s="21"/>
      <c r="THM20" s="21"/>
      <c r="THN20" s="21"/>
      <c r="THO20" s="21"/>
      <c r="THP20" s="21"/>
      <c r="THQ20" s="21"/>
      <c r="THR20" s="21"/>
      <c r="THS20" s="21"/>
      <c r="THT20" s="21"/>
      <c r="THU20" s="21"/>
      <c r="THV20" s="21"/>
      <c r="THW20" s="21"/>
      <c r="THX20" s="21"/>
      <c r="THY20" s="21"/>
      <c r="THZ20" s="21"/>
      <c r="TIA20" s="21"/>
      <c r="TIB20" s="21"/>
      <c r="TIC20" s="21"/>
      <c r="TID20" s="21"/>
      <c r="TIE20" s="21"/>
      <c r="TIF20" s="21"/>
      <c r="TIG20" s="21"/>
      <c r="TIH20" s="21"/>
      <c r="TII20" s="21"/>
      <c r="TIJ20" s="21"/>
      <c r="TIK20" s="21"/>
      <c r="TIL20" s="21"/>
      <c r="TIM20" s="21"/>
      <c r="TIN20" s="21"/>
      <c r="TIO20" s="21"/>
      <c r="TIP20" s="21"/>
      <c r="TIQ20" s="21"/>
      <c r="TIR20" s="21"/>
      <c r="TIS20" s="21"/>
      <c r="TIT20" s="21"/>
      <c r="TIU20" s="21"/>
      <c r="TIV20" s="21"/>
      <c r="TIW20" s="21"/>
      <c r="TIX20" s="21"/>
      <c r="TIY20" s="21"/>
      <c r="TIZ20" s="21"/>
      <c r="TJA20" s="21"/>
      <c r="TJB20" s="21"/>
      <c r="TJC20" s="21"/>
      <c r="TJD20" s="21"/>
      <c r="TJE20" s="21"/>
      <c r="TJF20" s="21"/>
      <c r="TJG20" s="21"/>
      <c r="TJH20" s="21"/>
      <c r="TJI20" s="21"/>
      <c r="TJJ20" s="21"/>
      <c r="TJK20" s="21"/>
      <c r="TJL20" s="21"/>
      <c r="TJM20" s="21"/>
      <c r="TJN20" s="21"/>
      <c r="TJO20" s="21"/>
      <c r="TJP20" s="21"/>
      <c r="TJQ20" s="21"/>
      <c r="TJR20" s="21"/>
      <c r="TJS20" s="21"/>
      <c r="TJT20" s="21"/>
      <c r="TJU20" s="21"/>
      <c r="TJV20" s="21"/>
      <c r="TJW20" s="21"/>
      <c r="TJX20" s="21"/>
      <c r="TJY20" s="21"/>
      <c r="TJZ20" s="21"/>
      <c r="TKA20" s="21"/>
      <c r="TKB20" s="21"/>
      <c r="TKC20" s="21"/>
      <c r="TKD20" s="21"/>
      <c r="TKE20" s="21"/>
      <c r="TKF20" s="21"/>
      <c r="TKG20" s="21"/>
      <c r="TKH20" s="21"/>
      <c r="TKI20" s="21"/>
      <c r="TKJ20" s="21"/>
      <c r="TKK20" s="21"/>
      <c r="TKL20" s="21"/>
      <c r="TKM20" s="21"/>
      <c r="TKN20" s="21"/>
      <c r="TKO20" s="21"/>
      <c r="TKP20" s="21"/>
      <c r="TKQ20" s="21"/>
      <c r="TKR20" s="21"/>
      <c r="TKS20" s="21"/>
      <c r="TKT20" s="21"/>
      <c r="TKU20" s="21"/>
      <c r="TKV20" s="21"/>
      <c r="TKW20" s="21"/>
      <c r="TKX20" s="21"/>
      <c r="TKY20" s="21"/>
      <c r="TKZ20" s="21"/>
      <c r="TLA20" s="21"/>
      <c r="TLB20" s="21"/>
      <c r="TLC20" s="21"/>
      <c r="TLD20" s="21"/>
      <c r="TLE20" s="21"/>
      <c r="TLF20" s="21"/>
      <c r="TLG20" s="21"/>
      <c r="TLH20" s="21"/>
      <c r="TLI20" s="21"/>
      <c r="TLJ20" s="21"/>
      <c r="TLK20" s="21"/>
      <c r="TLL20" s="21"/>
      <c r="TLM20" s="21"/>
      <c r="TLN20" s="21"/>
      <c r="TLO20" s="21"/>
      <c r="TLP20" s="21"/>
      <c r="TLQ20" s="21"/>
      <c r="TLR20" s="21"/>
      <c r="TLS20" s="21"/>
      <c r="TLT20" s="21"/>
      <c r="TLU20" s="21"/>
      <c r="TLV20" s="21"/>
      <c r="TLW20" s="21"/>
      <c r="TLX20" s="21"/>
      <c r="TLY20" s="21"/>
      <c r="TLZ20" s="21"/>
      <c r="TMA20" s="21"/>
      <c r="TMB20" s="21"/>
      <c r="TMC20" s="21"/>
      <c r="TMD20" s="21"/>
      <c r="TME20" s="21"/>
      <c r="TMF20" s="21"/>
      <c r="TMG20" s="21"/>
      <c r="TMH20" s="21"/>
      <c r="TMI20" s="21"/>
      <c r="TMJ20" s="21"/>
      <c r="TMK20" s="21"/>
      <c r="TML20" s="21"/>
      <c r="TMM20" s="21"/>
      <c r="TMN20" s="21"/>
      <c r="TMO20" s="21"/>
      <c r="TMP20" s="21"/>
      <c r="TMQ20" s="21"/>
      <c r="TMR20" s="21"/>
      <c r="TMS20" s="21"/>
      <c r="TMT20" s="21"/>
      <c r="TMU20" s="21"/>
      <c r="TMV20" s="21"/>
      <c r="TMW20" s="21"/>
      <c r="TMX20" s="21"/>
      <c r="TMY20" s="21"/>
      <c r="TMZ20" s="21"/>
      <c r="TNA20" s="21"/>
      <c r="TNB20" s="21"/>
      <c r="TNC20" s="21"/>
      <c r="TND20" s="21"/>
      <c r="TNE20" s="21"/>
      <c r="TNF20" s="21"/>
      <c r="TNG20" s="21"/>
      <c r="TNH20" s="21"/>
      <c r="TNI20" s="21"/>
      <c r="TNJ20" s="21"/>
      <c r="TNK20" s="21"/>
      <c r="TNL20" s="21"/>
      <c r="TNM20" s="21"/>
      <c r="TNN20" s="21"/>
      <c r="TNO20" s="21"/>
      <c r="TNP20" s="21"/>
      <c r="TNQ20" s="21"/>
      <c r="TNR20" s="21"/>
      <c r="TNS20" s="21"/>
      <c r="TNT20" s="21"/>
      <c r="TNU20" s="21"/>
      <c r="TNV20" s="21"/>
      <c r="TNW20" s="21"/>
      <c r="TNX20" s="21"/>
      <c r="TNY20" s="21"/>
      <c r="TNZ20" s="21"/>
      <c r="TOA20" s="21"/>
      <c r="TOB20" s="21"/>
      <c r="TOC20" s="21"/>
      <c r="TOD20" s="21"/>
      <c r="TOE20" s="21"/>
      <c r="TOF20" s="21"/>
      <c r="TOG20" s="21"/>
      <c r="TOH20" s="21"/>
      <c r="TOI20" s="21"/>
      <c r="TOJ20" s="21"/>
      <c r="TOK20" s="21"/>
      <c r="TOL20" s="21"/>
      <c r="TOM20" s="21"/>
      <c r="TON20" s="21"/>
      <c r="TOO20" s="21"/>
      <c r="TOP20" s="21"/>
      <c r="TOQ20" s="21"/>
      <c r="TOR20" s="21"/>
      <c r="TOS20" s="21"/>
      <c r="TOT20" s="21"/>
      <c r="TOU20" s="21"/>
      <c r="TOV20" s="21"/>
      <c r="TOW20" s="21"/>
      <c r="TOX20" s="21"/>
      <c r="TOY20" s="21"/>
      <c r="TOZ20" s="21"/>
      <c r="TPA20" s="21"/>
      <c r="TPB20" s="21"/>
      <c r="TPC20" s="21"/>
      <c r="TPD20" s="21"/>
      <c r="TPE20" s="21"/>
      <c r="TPF20" s="21"/>
      <c r="TPG20" s="21"/>
      <c r="TPH20" s="21"/>
      <c r="TPI20" s="21"/>
      <c r="TPJ20" s="21"/>
      <c r="TPK20" s="21"/>
      <c r="TPL20" s="21"/>
      <c r="TPM20" s="21"/>
      <c r="TPN20" s="21"/>
      <c r="TPO20" s="21"/>
      <c r="TPP20" s="21"/>
      <c r="TPQ20" s="21"/>
      <c r="TPR20" s="21"/>
      <c r="TPS20" s="21"/>
      <c r="TPT20" s="21"/>
      <c r="TPU20" s="21"/>
      <c r="TPV20" s="21"/>
      <c r="TPW20" s="21"/>
      <c r="TPX20" s="21"/>
      <c r="TPY20" s="21"/>
      <c r="TPZ20" s="21"/>
      <c r="TQA20" s="21"/>
      <c r="TQB20" s="21"/>
      <c r="TQC20" s="21"/>
      <c r="TQD20" s="21"/>
      <c r="TQE20" s="21"/>
      <c r="TQF20" s="21"/>
      <c r="TQG20" s="21"/>
      <c r="TQH20" s="21"/>
      <c r="TQI20" s="21"/>
      <c r="TQJ20" s="21"/>
      <c r="TQK20" s="21"/>
      <c r="TQL20" s="21"/>
      <c r="TQM20" s="21"/>
      <c r="TQN20" s="21"/>
      <c r="TQO20" s="21"/>
      <c r="TQP20" s="21"/>
      <c r="TQQ20" s="21"/>
      <c r="TQR20" s="21"/>
      <c r="TQS20" s="21"/>
      <c r="TQT20" s="21"/>
      <c r="TQU20" s="21"/>
      <c r="TQV20" s="21"/>
      <c r="TQW20" s="21"/>
      <c r="TQX20" s="21"/>
      <c r="TQY20" s="21"/>
      <c r="TQZ20" s="21"/>
      <c r="TRA20" s="21"/>
      <c r="TRB20" s="21"/>
      <c r="TRC20" s="21"/>
      <c r="TRD20" s="21"/>
      <c r="TRE20" s="21"/>
      <c r="TRF20" s="21"/>
      <c r="TRG20" s="21"/>
      <c r="TRH20" s="21"/>
      <c r="TRI20" s="21"/>
      <c r="TRJ20" s="21"/>
      <c r="TRK20" s="21"/>
      <c r="TRL20" s="21"/>
      <c r="TRM20" s="21"/>
      <c r="TRN20" s="21"/>
      <c r="TRO20" s="21"/>
      <c r="TRP20" s="21"/>
      <c r="TRQ20" s="21"/>
      <c r="TRR20" s="21"/>
      <c r="TRS20" s="21"/>
      <c r="TRT20" s="21"/>
      <c r="TRU20" s="21"/>
      <c r="TRV20" s="21"/>
      <c r="TRW20" s="21"/>
      <c r="TRX20" s="21"/>
      <c r="TRY20" s="21"/>
      <c r="TRZ20" s="21"/>
      <c r="TSA20" s="21"/>
      <c r="TSB20" s="21"/>
      <c r="TSC20" s="21"/>
      <c r="TSD20" s="21"/>
      <c r="TSE20" s="21"/>
      <c r="TSF20" s="21"/>
      <c r="TSG20" s="21"/>
      <c r="TSH20" s="21"/>
      <c r="TSI20" s="21"/>
      <c r="TSJ20" s="21"/>
      <c r="TSK20" s="21"/>
      <c r="TSL20" s="21"/>
      <c r="TSM20" s="21"/>
      <c r="TSN20" s="21"/>
      <c r="TSO20" s="21"/>
      <c r="TSP20" s="21"/>
      <c r="TSQ20" s="21"/>
      <c r="TSR20" s="21"/>
      <c r="TSS20" s="21"/>
      <c r="TST20" s="21"/>
      <c r="TSU20" s="21"/>
      <c r="TSV20" s="21"/>
      <c r="TSW20" s="21"/>
      <c r="TSX20" s="21"/>
      <c r="TSY20" s="21"/>
      <c r="TSZ20" s="21"/>
      <c r="TTA20" s="21"/>
      <c r="TTB20" s="21"/>
      <c r="TTC20" s="21"/>
      <c r="TTD20" s="21"/>
      <c r="TTE20" s="21"/>
      <c r="TTF20" s="21"/>
      <c r="TTG20" s="21"/>
      <c r="TTH20" s="21"/>
      <c r="TTI20" s="21"/>
      <c r="TTJ20" s="21"/>
      <c r="TTK20" s="21"/>
      <c r="TTL20" s="21"/>
      <c r="TTM20" s="21"/>
      <c r="TTN20" s="21"/>
      <c r="TTO20" s="21"/>
      <c r="TTP20" s="21"/>
      <c r="TTQ20" s="21"/>
      <c r="TTR20" s="21"/>
      <c r="TTS20" s="21"/>
      <c r="TTT20" s="21"/>
      <c r="TTU20" s="21"/>
      <c r="TTV20" s="21"/>
      <c r="TTW20" s="21"/>
      <c r="TTX20" s="21"/>
      <c r="TTY20" s="21"/>
      <c r="TTZ20" s="21"/>
      <c r="TUA20" s="21"/>
      <c r="TUB20" s="21"/>
      <c r="TUC20" s="21"/>
      <c r="TUD20" s="21"/>
      <c r="TUE20" s="21"/>
      <c r="TUF20" s="21"/>
      <c r="TUG20" s="21"/>
      <c r="TUH20" s="21"/>
      <c r="TUI20" s="21"/>
      <c r="TUJ20" s="21"/>
      <c r="TUK20" s="21"/>
      <c r="TUL20" s="21"/>
      <c r="TUM20" s="21"/>
      <c r="TUN20" s="21"/>
      <c r="TUO20" s="21"/>
      <c r="TUP20" s="21"/>
      <c r="TUQ20" s="21"/>
      <c r="TUR20" s="21"/>
      <c r="TUS20" s="21"/>
      <c r="TUT20" s="21"/>
      <c r="TUU20" s="21"/>
      <c r="TUV20" s="21"/>
      <c r="TUW20" s="21"/>
      <c r="TUX20" s="21"/>
      <c r="TUY20" s="21"/>
      <c r="TUZ20" s="21"/>
      <c r="TVA20" s="21"/>
      <c r="TVB20" s="21"/>
      <c r="TVC20" s="21"/>
      <c r="TVD20" s="21"/>
      <c r="TVE20" s="21"/>
      <c r="TVF20" s="21"/>
      <c r="TVG20" s="21"/>
      <c r="TVH20" s="21"/>
      <c r="TVI20" s="21"/>
      <c r="TVJ20" s="21"/>
      <c r="TVK20" s="21"/>
      <c r="TVL20" s="21"/>
      <c r="TVM20" s="21"/>
      <c r="TVN20" s="21"/>
      <c r="TVO20" s="21"/>
      <c r="TVP20" s="21"/>
      <c r="TVQ20" s="21"/>
      <c r="TVR20" s="21"/>
      <c r="TVS20" s="21"/>
      <c r="TVT20" s="21"/>
      <c r="TVU20" s="21"/>
      <c r="TVV20" s="21"/>
      <c r="TVW20" s="21"/>
      <c r="TVX20" s="21"/>
      <c r="TVY20" s="21"/>
      <c r="TVZ20" s="21"/>
      <c r="TWA20" s="21"/>
      <c r="TWB20" s="21"/>
      <c r="TWC20" s="21"/>
      <c r="TWD20" s="21"/>
      <c r="TWE20" s="21"/>
      <c r="TWF20" s="21"/>
      <c r="TWG20" s="21"/>
      <c r="TWH20" s="21"/>
      <c r="TWI20" s="21"/>
      <c r="TWJ20" s="21"/>
      <c r="TWK20" s="21"/>
      <c r="TWL20" s="21"/>
      <c r="TWM20" s="21"/>
      <c r="TWN20" s="21"/>
      <c r="TWO20" s="21"/>
      <c r="TWP20" s="21"/>
      <c r="TWQ20" s="21"/>
      <c r="TWR20" s="21"/>
      <c r="TWS20" s="21"/>
      <c r="TWT20" s="21"/>
      <c r="TWU20" s="21"/>
      <c r="TWV20" s="21"/>
      <c r="TWW20" s="21"/>
      <c r="TWX20" s="21"/>
      <c r="TWY20" s="21"/>
      <c r="TWZ20" s="21"/>
      <c r="TXA20" s="21"/>
      <c r="TXB20" s="21"/>
      <c r="TXC20" s="21"/>
      <c r="TXD20" s="21"/>
      <c r="TXE20" s="21"/>
      <c r="TXF20" s="21"/>
      <c r="TXG20" s="21"/>
      <c r="TXH20" s="21"/>
      <c r="TXI20" s="21"/>
      <c r="TXJ20" s="21"/>
      <c r="TXK20" s="21"/>
      <c r="TXL20" s="21"/>
      <c r="TXM20" s="21"/>
      <c r="TXN20" s="21"/>
      <c r="TXO20" s="21"/>
      <c r="TXP20" s="21"/>
      <c r="TXQ20" s="21"/>
      <c r="TXR20" s="21"/>
      <c r="TXS20" s="21"/>
      <c r="TXT20" s="21"/>
      <c r="TXU20" s="21"/>
      <c r="TXV20" s="21"/>
      <c r="TXW20" s="21"/>
      <c r="TXX20" s="21"/>
      <c r="TXY20" s="21"/>
      <c r="TXZ20" s="21"/>
      <c r="TYA20" s="21"/>
      <c r="TYB20" s="21"/>
      <c r="TYC20" s="21"/>
      <c r="TYD20" s="21"/>
      <c r="TYE20" s="21"/>
      <c r="TYF20" s="21"/>
      <c r="TYG20" s="21"/>
      <c r="TYH20" s="21"/>
      <c r="TYI20" s="21"/>
      <c r="TYJ20" s="21"/>
      <c r="TYK20" s="21"/>
      <c r="TYL20" s="21"/>
      <c r="TYM20" s="21"/>
      <c r="TYN20" s="21"/>
      <c r="TYO20" s="21"/>
      <c r="TYP20" s="21"/>
      <c r="TYQ20" s="21"/>
      <c r="TYR20" s="21"/>
      <c r="TYS20" s="21"/>
      <c r="TYT20" s="21"/>
      <c r="TYU20" s="21"/>
      <c r="TYV20" s="21"/>
      <c r="TYW20" s="21"/>
      <c r="TYX20" s="21"/>
      <c r="TYY20" s="21"/>
      <c r="TYZ20" s="21"/>
      <c r="TZA20" s="21"/>
      <c r="TZB20" s="21"/>
      <c r="TZC20" s="21"/>
      <c r="TZD20" s="21"/>
      <c r="TZE20" s="21"/>
      <c r="TZF20" s="21"/>
      <c r="TZG20" s="21"/>
      <c r="TZH20" s="21"/>
      <c r="TZI20" s="21"/>
      <c r="TZJ20" s="21"/>
      <c r="TZK20" s="21"/>
      <c r="TZL20" s="21"/>
      <c r="TZM20" s="21"/>
      <c r="TZN20" s="21"/>
      <c r="TZO20" s="21"/>
      <c r="TZP20" s="21"/>
      <c r="TZQ20" s="21"/>
      <c r="TZR20" s="21"/>
      <c r="TZS20" s="21"/>
      <c r="TZT20" s="21"/>
      <c r="TZU20" s="21"/>
      <c r="TZV20" s="21"/>
      <c r="TZW20" s="21"/>
      <c r="TZX20" s="21"/>
      <c r="TZY20" s="21"/>
      <c r="TZZ20" s="21"/>
      <c r="UAA20" s="21"/>
      <c r="UAB20" s="21"/>
      <c r="UAC20" s="21"/>
      <c r="UAD20" s="21"/>
      <c r="UAE20" s="21"/>
      <c r="UAF20" s="21"/>
      <c r="UAG20" s="21"/>
      <c r="UAH20" s="21"/>
      <c r="UAI20" s="21"/>
      <c r="UAJ20" s="21"/>
      <c r="UAK20" s="21"/>
      <c r="UAL20" s="21"/>
      <c r="UAM20" s="21"/>
      <c r="UAN20" s="21"/>
      <c r="UAO20" s="21"/>
      <c r="UAP20" s="21"/>
      <c r="UAQ20" s="21"/>
      <c r="UAR20" s="21"/>
      <c r="UAS20" s="21"/>
      <c r="UAT20" s="21"/>
      <c r="UAU20" s="21"/>
      <c r="UAV20" s="21"/>
      <c r="UAW20" s="21"/>
      <c r="UAX20" s="21"/>
      <c r="UAY20" s="21"/>
      <c r="UAZ20" s="21"/>
      <c r="UBA20" s="21"/>
      <c r="UBB20" s="21"/>
      <c r="UBC20" s="21"/>
      <c r="UBD20" s="21"/>
      <c r="UBE20" s="21"/>
      <c r="UBF20" s="21"/>
      <c r="UBG20" s="21"/>
      <c r="UBH20" s="21"/>
      <c r="UBI20" s="21"/>
      <c r="UBJ20" s="21"/>
      <c r="UBK20" s="21"/>
      <c r="UBL20" s="21"/>
      <c r="UBM20" s="21"/>
      <c r="UBN20" s="21"/>
      <c r="UBO20" s="21"/>
      <c r="UBP20" s="21"/>
      <c r="UBQ20" s="21"/>
      <c r="UBR20" s="21"/>
      <c r="UBS20" s="21"/>
      <c r="UBT20" s="21"/>
      <c r="UBU20" s="21"/>
      <c r="UBV20" s="21"/>
      <c r="UBW20" s="21"/>
      <c r="UBX20" s="21"/>
      <c r="UBY20" s="21"/>
      <c r="UBZ20" s="21"/>
      <c r="UCA20" s="21"/>
      <c r="UCB20" s="21"/>
      <c r="UCC20" s="21"/>
      <c r="UCD20" s="21"/>
      <c r="UCE20" s="21"/>
      <c r="UCF20" s="21"/>
      <c r="UCG20" s="21"/>
      <c r="UCH20" s="21"/>
      <c r="UCI20" s="21"/>
      <c r="UCJ20" s="21"/>
      <c r="UCK20" s="21"/>
      <c r="UCL20" s="21"/>
      <c r="UCM20" s="21"/>
      <c r="UCN20" s="21"/>
      <c r="UCO20" s="21"/>
      <c r="UCP20" s="21"/>
      <c r="UCQ20" s="21"/>
      <c r="UCR20" s="21"/>
      <c r="UCS20" s="21"/>
      <c r="UCT20" s="21"/>
      <c r="UCU20" s="21"/>
      <c r="UCV20" s="21"/>
      <c r="UCW20" s="21"/>
      <c r="UCX20" s="21"/>
      <c r="UCY20" s="21"/>
      <c r="UCZ20" s="21"/>
      <c r="UDA20" s="21"/>
      <c r="UDB20" s="21"/>
      <c r="UDC20" s="21"/>
      <c r="UDD20" s="21"/>
      <c r="UDE20" s="21"/>
      <c r="UDF20" s="21"/>
      <c r="UDG20" s="21"/>
      <c r="UDH20" s="21"/>
      <c r="UDI20" s="21"/>
      <c r="UDJ20" s="21"/>
      <c r="UDK20" s="21"/>
      <c r="UDL20" s="21"/>
      <c r="UDM20" s="21"/>
      <c r="UDN20" s="21"/>
      <c r="UDO20" s="21"/>
      <c r="UDP20" s="21"/>
      <c r="UDQ20" s="21"/>
      <c r="UDR20" s="21"/>
      <c r="UDS20" s="21"/>
      <c r="UDT20" s="21"/>
      <c r="UDU20" s="21"/>
      <c r="UDV20" s="21"/>
      <c r="UDW20" s="21"/>
      <c r="UDX20" s="21"/>
      <c r="UDY20" s="21"/>
      <c r="UDZ20" s="21"/>
      <c r="UEA20" s="21"/>
      <c r="UEB20" s="21"/>
      <c r="UEC20" s="21"/>
      <c r="UED20" s="21"/>
      <c r="UEE20" s="21"/>
      <c r="UEF20" s="21"/>
      <c r="UEG20" s="21"/>
      <c r="UEH20" s="21"/>
      <c r="UEI20" s="21"/>
      <c r="UEJ20" s="21"/>
      <c r="UEK20" s="21"/>
      <c r="UEL20" s="21"/>
      <c r="UEM20" s="21"/>
      <c r="UEN20" s="21"/>
      <c r="UEO20" s="21"/>
      <c r="UEP20" s="21"/>
      <c r="UEQ20" s="21"/>
      <c r="UER20" s="21"/>
      <c r="UES20" s="21"/>
      <c r="UET20" s="21"/>
      <c r="UEU20" s="21"/>
      <c r="UEV20" s="21"/>
      <c r="UEW20" s="21"/>
      <c r="UEX20" s="21"/>
      <c r="UEY20" s="21"/>
      <c r="UEZ20" s="21"/>
      <c r="UFA20" s="21"/>
      <c r="UFB20" s="21"/>
      <c r="UFC20" s="21"/>
      <c r="UFD20" s="21"/>
      <c r="UFE20" s="21"/>
      <c r="UFF20" s="21"/>
      <c r="UFG20" s="21"/>
      <c r="UFH20" s="21"/>
      <c r="UFI20" s="21"/>
      <c r="UFJ20" s="21"/>
      <c r="UFK20" s="21"/>
      <c r="UFL20" s="21"/>
      <c r="UFM20" s="21"/>
      <c r="UFN20" s="21"/>
      <c r="UFO20" s="21"/>
      <c r="UFP20" s="21"/>
      <c r="UFQ20" s="21"/>
      <c r="UFR20" s="21"/>
      <c r="UFS20" s="21"/>
      <c r="UFT20" s="21"/>
      <c r="UFU20" s="21"/>
      <c r="UFV20" s="21"/>
      <c r="UFW20" s="21"/>
      <c r="UFX20" s="21"/>
      <c r="UFY20" s="21"/>
      <c r="UFZ20" s="21"/>
      <c r="UGA20" s="21"/>
      <c r="UGB20" s="21"/>
      <c r="UGC20" s="21"/>
      <c r="UGD20" s="21"/>
      <c r="UGE20" s="21"/>
      <c r="UGF20" s="21"/>
      <c r="UGG20" s="21"/>
      <c r="UGH20" s="21"/>
      <c r="UGI20" s="21"/>
      <c r="UGJ20" s="21"/>
      <c r="UGK20" s="21"/>
      <c r="UGL20" s="21"/>
      <c r="UGM20" s="21"/>
      <c r="UGN20" s="21"/>
      <c r="UGO20" s="21"/>
      <c r="UGP20" s="21"/>
      <c r="UGQ20" s="21"/>
      <c r="UGR20" s="21"/>
      <c r="UGS20" s="21"/>
      <c r="UGT20" s="21"/>
      <c r="UGU20" s="21"/>
      <c r="UGV20" s="21"/>
      <c r="UGW20" s="21"/>
      <c r="UGX20" s="21"/>
      <c r="UGY20" s="21"/>
      <c r="UGZ20" s="21"/>
      <c r="UHA20" s="21"/>
      <c r="UHB20" s="21"/>
      <c r="UHC20" s="21"/>
      <c r="UHD20" s="21"/>
      <c r="UHE20" s="21"/>
      <c r="UHF20" s="21"/>
      <c r="UHG20" s="21"/>
      <c r="UHH20" s="21"/>
      <c r="UHI20" s="21"/>
      <c r="UHJ20" s="21"/>
      <c r="UHK20" s="21"/>
      <c r="UHL20" s="21"/>
      <c r="UHM20" s="21"/>
      <c r="UHN20" s="21"/>
      <c r="UHO20" s="21"/>
      <c r="UHP20" s="21"/>
      <c r="UHQ20" s="21"/>
      <c r="UHR20" s="21"/>
      <c r="UHS20" s="21"/>
      <c r="UHT20" s="21"/>
      <c r="UHU20" s="21"/>
      <c r="UHV20" s="21"/>
      <c r="UHW20" s="21"/>
      <c r="UHX20" s="21"/>
      <c r="UHY20" s="21"/>
      <c r="UHZ20" s="21"/>
      <c r="UIA20" s="21"/>
      <c r="UIB20" s="21"/>
      <c r="UIC20" s="21"/>
      <c r="UID20" s="21"/>
      <c r="UIE20" s="21"/>
      <c r="UIF20" s="21"/>
      <c r="UIG20" s="21"/>
      <c r="UIH20" s="21"/>
      <c r="UII20" s="21"/>
      <c r="UIJ20" s="21"/>
      <c r="UIK20" s="21"/>
      <c r="UIL20" s="21"/>
      <c r="UIM20" s="21"/>
      <c r="UIN20" s="21"/>
      <c r="UIO20" s="21"/>
      <c r="UIP20" s="21"/>
      <c r="UIQ20" s="21"/>
      <c r="UIR20" s="21"/>
      <c r="UIS20" s="21"/>
      <c r="UIT20" s="21"/>
      <c r="UIU20" s="21"/>
      <c r="UIV20" s="21"/>
      <c r="UIW20" s="21"/>
      <c r="UIX20" s="21"/>
      <c r="UIY20" s="21"/>
      <c r="UIZ20" s="21"/>
      <c r="UJA20" s="21"/>
      <c r="UJB20" s="21"/>
      <c r="UJC20" s="21"/>
      <c r="UJD20" s="21"/>
      <c r="UJE20" s="21"/>
      <c r="UJF20" s="21"/>
      <c r="UJG20" s="21"/>
      <c r="UJH20" s="21"/>
      <c r="UJI20" s="21"/>
      <c r="UJJ20" s="21"/>
      <c r="UJK20" s="21"/>
      <c r="UJL20" s="21"/>
      <c r="UJM20" s="21"/>
      <c r="UJN20" s="21"/>
      <c r="UJO20" s="21"/>
      <c r="UJP20" s="21"/>
      <c r="UJQ20" s="21"/>
      <c r="UJR20" s="21"/>
      <c r="UJS20" s="21"/>
      <c r="UJT20" s="21"/>
      <c r="UJU20" s="21"/>
      <c r="UJV20" s="21"/>
      <c r="UJW20" s="21"/>
      <c r="UJX20" s="21"/>
      <c r="UJY20" s="21"/>
      <c r="UJZ20" s="21"/>
      <c r="UKA20" s="21"/>
      <c r="UKB20" s="21"/>
      <c r="UKC20" s="21"/>
      <c r="UKD20" s="21"/>
      <c r="UKE20" s="21"/>
      <c r="UKF20" s="21"/>
      <c r="UKG20" s="21"/>
      <c r="UKH20" s="21"/>
      <c r="UKI20" s="21"/>
      <c r="UKJ20" s="21"/>
      <c r="UKK20" s="21"/>
      <c r="UKL20" s="21"/>
      <c r="UKM20" s="21"/>
      <c r="UKN20" s="21"/>
      <c r="UKO20" s="21"/>
      <c r="UKP20" s="21"/>
      <c r="UKQ20" s="21"/>
      <c r="UKR20" s="21"/>
      <c r="UKS20" s="21"/>
      <c r="UKT20" s="21"/>
      <c r="UKU20" s="21"/>
      <c r="UKV20" s="21"/>
      <c r="UKW20" s="21"/>
      <c r="UKX20" s="21"/>
      <c r="UKY20" s="21"/>
      <c r="UKZ20" s="21"/>
      <c r="ULA20" s="21"/>
      <c r="ULB20" s="21"/>
      <c r="ULC20" s="21"/>
      <c r="ULD20" s="21"/>
      <c r="ULE20" s="21"/>
      <c r="ULF20" s="21"/>
      <c r="ULG20" s="21"/>
      <c r="ULH20" s="21"/>
      <c r="ULI20" s="21"/>
      <c r="ULJ20" s="21"/>
      <c r="ULK20" s="21"/>
      <c r="ULL20" s="21"/>
      <c r="ULM20" s="21"/>
      <c r="ULN20" s="21"/>
      <c r="ULO20" s="21"/>
      <c r="ULP20" s="21"/>
      <c r="ULQ20" s="21"/>
      <c r="ULR20" s="21"/>
      <c r="ULS20" s="21"/>
      <c r="ULT20" s="21"/>
      <c r="ULU20" s="21"/>
      <c r="ULV20" s="21"/>
      <c r="ULW20" s="21"/>
      <c r="ULX20" s="21"/>
      <c r="ULY20" s="21"/>
      <c r="ULZ20" s="21"/>
      <c r="UMA20" s="21"/>
      <c r="UMB20" s="21"/>
      <c r="UMC20" s="21"/>
      <c r="UMD20" s="21"/>
      <c r="UME20" s="21"/>
      <c r="UMF20" s="21"/>
      <c r="UMG20" s="21"/>
      <c r="UMH20" s="21"/>
      <c r="UMI20" s="21"/>
      <c r="UMJ20" s="21"/>
      <c r="UMK20" s="21"/>
      <c r="UML20" s="21"/>
      <c r="UMM20" s="21"/>
      <c r="UMN20" s="21"/>
      <c r="UMO20" s="21"/>
      <c r="UMP20" s="21"/>
      <c r="UMQ20" s="21"/>
      <c r="UMR20" s="21"/>
      <c r="UMS20" s="21"/>
      <c r="UMT20" s="21"/>
      <c r="UMU20" s="21"/>
      <c r="UMV20" s="21"/>
      <c r="UMW20" s="21"/>
      <c r="UMX20" s="21"/>
      <c r="UMY20" s="21"/>
      <c r="UMZ20" s="21"/>
      <c r="UNA20" s="21"/>
      <c r="UNB20" s="21"/>
      <c r="UNC20" s="21"/>
      <c r="UND20" s="21"/>
      <c r="UNE20" s="21"/>
      <c r="UNF20" s="21"/>
      <c r="UNG20" s="21"/>
      <c r="UNH20" s="21"/>
      <c r="UNI20" s="21"/>
      <c r="UNJ20" s="21"/>
      <c r="UNK20" s="21"/>
      <c r="UNL20" s="21"/>
      <c r="UNM20" s="21"/>
      <c r="UNN20" s="21"/>
      <c r="UNO20" s="21"/>
      <c r="UNP20" s="21"/>
      <c r="UNQ20" s="21"/>
      <c r="UNR20" s="21"/>
      <c r="UNS20" s="21"/>
      <c r="UNT20" s="21"/>
      <c r="UNU20" s="21"/>
      <c r="UNV20" s="21"/>
      <c r="UNW20" s="21"/>
      <c r="UNX20" s="21"/>
      <c r="UNY20" s="21"/>
      <c r="UNZ20" s="21"/>
      <c r="UOA20" s="21"/>
      <c r="UOB20" s="21"/>
      <c r="UOC20" s="21"/>
      <c r="UOD20" s="21"/>
      <c r="UOE20" s="21"/>
      <c r="UOF20" s="21"/>
      <c r="UOG20" s="21"/>
      <c r="UOH20" s="21"/>
      <c r="UOI20" s="21"/>
      <c r="UOJ20" s="21"/>
      <c r="UOK20" s="21"/>
      <c r="UOL20" s="21"/>
      <c r="UOM20" s="21"/>
      <c r="UON20" s="21"/>
      <c r="UOO20" s="21"/>
      <c r="UOP20" s="21"/>
      <c r="UOQ20" s="21"/>
      <c r="UOR20" s="21"/>
      <c r="UOS20" s="21"/>
      <c r="UOT20" s="21"/>
      <c r="UOU20" s="21"/>
      <c r="UOV20" s="21"/>
      <c r="UOW20" s="21"/>
      <c r="UOX20" s="21"/>
      <c r="UOY20" s="21"/>
      <c r="UOZ20" s="21"/>
      <c r="UPA20" s="21"/>
      <c r="UPB20" s="21"/>
      <c r="UPC20" s="21"/>
      <c r="UPD20" s="21"/>
      <c r="UPE20" s="21"/>
      <c r="UPF20" s="21"/>
      <c r="UPG20" s="21"/>
      <c r="UPH20" s="21"/>
      <c r="UPI20" s="21"/>
      <c r="UPJ20" s="21"/>
      <c r="UPK20" s="21"/>
      <c r="UPL20" s="21"/>
      <c r="UPM20" s="21"/>
      <c r="UPN20" s="21"/>
      <c r="UPO20" s="21"/>
      <c r="UPP20" s="21"/>
      <c r="UPQ20" s="21"/>
      <c r="UPR20" s="21"/>
      <c r="UPS20" s="21"/>
      <c r="UPT20" s="21"/>
      <c r="UPU20" s="21"/>
      <c r="UPV20" s="21"/>
      <c r="UPW20" s="21"/>
      <c r="UPX20" s="21"/>
      <c r="UPY20" s="21"/>
      <c r="UPZ20" s="21"/>
      <c r="UQA20" s="21"/>
      <c r="UQB20" s="21"/>
      <c r="UQC20" s="21"/>
      <c r="UQD20" s="21"/>
      <c r="UQE20" s="21"/>
      <c r="UQF20" s="21"/>
      <c r="UQG20" s="21"/>
      <c r="UQH20" s="21"/>
      <c r="UQI20" s="21"/>
      <c r="UQJ20" s="21"/>
      <c r="UQK20" s="21"/>
      <c r="UQL20" s="21"/>
      <c r="UQM20" s="21"/>
      <c r="UQN20" s="21"/>
      <c r="UQO20" s="21"/>
      <c r="UQP20" s="21"/>
      <c r="UQQ20" s="21"/>
      <c r="UQR20" s="21"/>
      <c r="UQS20" s="21"/>
      <c r="UQT20" s="21"/>
      <c r="UQU20" s="21"/>
      <c r="UQV20" s="21"/>
      <c r="UQW20" s="21"/>
      <c r="UQX20" s="21"/>
      <c r="UQY20" s="21"/>
      <c r="UQZ20" s="21"/>
      <c r="URA20" s="21"/>
      <c r="URB20" s="21"/>
      <c r="URC20" s="21"/>
      <c r="URD20" s="21"/>
      <c r="URE20" s="21"/>
      <c r="URF20" s="21"/>
      <c r="URG20" s="21"/>
      <c r="URH20" s="21"/>
      <c r="URI20" s="21"/>
      <c r="URJ20" s="21"/>
      <c r="URK20" s="21"/>
      <c r="URL20" s="21"/>
      <c r="URM20" s="21"/>
      <c r="URN20" s="21"/>
      <c r="URO20" s="21"/>
      <c r="URP20" s="21"/>
      <c r="URQ20" s="21"/>
      <c r="URR20" s="21"/>
      <c r="URS20" s="21"/>
      <c r="URT20" s="21"/>
      <c r="URU20" s="21"/>
      <c r="URV20" s="21"/>
      <c r="URW20" s="21"/>
      <c r="URX20" s="21"/>
      <c r="URY20" s="21"/>
      <c r="URZ20" s="21"/>
      <c r="USA20" s="21"/>
      <c r="USB20" s="21"/>
      <c r="USC20" s="21"/>
      <c r="USD20" s="21"/>
      <c r="USE20" s="21"/>
      <c r="USF20" s="21"/>
      <c r="USG20" s="21"/>
      <c r="USH20" s="21"/>
      <c r="USI20" s="21"/>
      <c r="USJ20" s="21"/>
      <c r="USK20" s="21"/>
      <c r="USL20" s="21"/>
      <c r="USM20" s="21"/>
      <c r="USN20" s="21"/>
      <c r="USO20" s="21"/>
      <c r="USP20" s="21"/>
      <c r="USQ20" s="21"/>
      <c r="USR20" s="21"/>
      <c r="USS20" s="21"/>
      <c r="UST20" s="21"/>
      <c r="USU20" s="21"/>
      <c r="USV20" s="21"/>
      <c r="USW20" s="21"/>
      <c r="USX20" s="21"/>
      <c r="USY20" s="21"/>
      <c r="USZ20" s="21"/>
      <c r="UTA20" s="21"/>
      <c r="UTB20" s="21"/>
      <c r="UTC20" s="21"/>
      <c r="UTD20" s="21"/>
      <c r="UTE20" s="21"/>
      <c r="UTF20" s="21"/>
      <c r="UTG20" s="21"/>
      <c r="UTH20" s="21"/>
      <c r="UTI20" s="21"/>
      <c r="UTJ20" s="21"/>
      <c r="UTK20" s="21"/>
      <c r="UTL20" s="21"/>
      <c r="UTM20" s="21"/>
      <c r="UTN20" s="21"/>
      <c r="UTO20" s="21"/>
      <c r="UTP20" s="21"/>
      <c r="UTQ20" s="21"/>
      <c r="UTR20" s="21"/>
      <c r="UTS20" s="21"/>
      <c r="UTT20" s="21"/>
      <c r="UTU20" s="21"/>
      <c r="UTV20" s="21"/>
      <c r="UTW20" s="21"/>
      <c r="UTX20" s="21"/>
      <c r="UTY20" s="21"/>
      <c r="UTZ20" s="21"/>
      <c r="UUA20" s="21"/>
      <c r="UUB20" s="21"/>
      <c r="UUC20" s="21"/>
      <c r="UUD20" s="21"/>
      <c r="UUE20" s="21"/>
      <c r="UUF20" s="21"/>
      <c r="UUG20" s="21"/>
      <c r="UUH20" s="21"/>
      <c r="UUI20" s="21"/>
      <c r="UUJ20" s="21"/>
      <c r="UUK20" s="21"/>
      <c r="UUL20" s="21"/>
      <c r="UUM20" s="21"/>
      <c r="UUN20" s="21"/>
      <c r="UUO20" s="21"/>
      <c r="UUP20" s="21"/>
      <c r="UUQ20" s="21"/>
      <c r="UUR20" s="21"/>
      <c r="UUS20" s="21"/>
      <c r="UUT20" s="21"/>
      <c r="UUU20" s="21"/>
      <c r="UUV20" s="21"/>
      <c r="UUW20" s="21"/>
      <c r="UUX20" s="21"/>
      <c r="UUY20" s="21"/>
      <c r="UUZ20" s="21"/>
      <c r="UVA20" s="21"/>
      <c r="UVB20" s="21"/>
      <c r="UVC20" s="21"/>
      <c r="UVD20" s="21"/>
      <c r="UVE20" s="21"/>
      <c r="UVF20" s="21"/>
      <c r="UVG20" s="21"/>
      <c r="UVH20" s="21"/>
      <c r="UVI20" s="21"/>
      <c r="UVJ20" s="21"/>
      <c r="UVK20" s="21"/>
      <c r="UVL20" s="21"/>
      <c r="UVM20" s="21"/>
      <c r="UVN20" s="21"/>
      <c r="UVO20" s="21"/>
      <c r="UVP20" s="21"/>
      <c r="UVQ20" s="21"/>
      <c r="UVR20" s="21"/>
      <c r="UVS20" s="21"/>
      <c r="UVT20" s="21"/>
      <c r="UVU20" s="21"/>
      <c r="UVV20" s="21"/>
      <c r="UVW20" s="21"/>
      <c r="UVX20" s="21"/>
      <c r="UVY20" s="21"/>
      <c r="UVZ20" s="21"/>
      <c r="UWA20" s="21"/>
      <c r="UWB20" s="21"/>
      <c r="UWC20" s="21"/>
      <c r="UWD20" s="21"/>
      <c r="UWE20" s="21"/>
      <c r="UWF20" s="21"/>
      <c r="UWG20" s="21"/>
      <c r="UWH20" s="21"/>
      <c r="UWI20" s="21"/>
      <c r="UWJ20" s="21"/>
      <c r="UWK20" s="21"/>
      <c r="UWL20" s="21"/>
      <c r="UWM20" s="21"/>
      <c r="UWN20" s="21"/>
      <c r="UWO20" s="21"/>
      <c r="UWP20" s="21"/>
      <c r="UWQ20" s="21"/>
      <c r="UWR20" s="21"/>
      <c r="UWS20" s="21"/>
      <c r="UWT20" s="21"/>
      <c r="UWU20" s="21"/>
      <c r="UWV20" s="21"/>
      <c r="UWW20" s="21"/>
      <c r="UWX20" s="21"/>
      <c r="UWY20" s="21"/>
      <c r="UWZ20" s="21"/>
      <c r="UXA20" s="21"/>
      <c r="UXB20" s="21"/>
      <c r="UXC20" s="21"/>
      <c r="UXD20" s="21"/>
      <c r="UXE20" s="21"/>
      <c r="UXF20" s="21"/>
      <c r="UXG20" s="21"/>
      <c r="UXH20" s="21"/>
      <c r="UXI20" s="21"/>
      <c r="UXJ20" s="21"/>
      <c r="UXK20" s="21"/>
      <c r="UXL20" s="21"/>
      <c r="UXM20" s="21"/>
      <c r="UXN20" s="21"/>
      <c r="UXO20" s="21"/>
      <c r="UXP20" s="21"/>
      <c r="UXQ20" s="21"/>
      <c r="UXR20" s="21"/>
      <c r="UXS20" s="21"/>
      <c r="UXT20" s="21"/>
      <c r="UXU20" s="21"/>
      <c r="UXV20" s="21"/>
      <c r="UXW20" s="21"/>
      <c r="UXX20" s="21"/>
      <c r="UXY20" s="21"/>
      <c r="UXZ20" s="21"/>
      <c r="UYA20" s="21"/>
      <c r="UYB20" s="21"/>
      <c r="UYC20" s="21"/>
      <c r="UYD20" s="21"/>
      <c r="UYE20" s="21"/>
      <c r="UYF20" s="21"/>
      <c r="UYG20" s="21"/>
      <c r="UYH20" s="21"/>
      <c r="UYI20" s="21"/>
      <c r="UYJ20" s="21"/>
      <c r="UYK20" s="21"/>
      <c r="UYL20" s="21"/>
      <c r="UYM20" s="21"/>
      <c r="UYN20" s="21"/>
      <c r="UYO20" s="21"/>
      <c r="UYP20" s="21"/>
      <c r="UYQ20" s="21"/>
      <c r="UYR20" s="21"/>
      <c r="UYS20" s="21"/>
      <c r="UYT20" s="21"/>
      <c r="UYU20" s="21"/>
      <c r="UYV20" s="21"/>
      <c r="UYW20" s="21"/>
      <c r="UYX20" s="21"/>
      <c r="UYY20" s="21"/>
      <c r="UYZ20" s="21"/>
      <c r="UZA20" s="21"/>
      <c r="UZB20" s="21"/>
      <c r="UZC20" s="21"/>
      <c r="UZD20" s="21"/>
      <c r="UZE20" s="21"/>
      <c r="UZF20" s="21"/>
      <c r="UZG20" s="21"/>
      <c r="UZH20" s="21"/>
      <c r="UZI20" s="21"/>
      <c r="UZJ20" s="21"/>
      <c r="UZK20" s="21"/>
      <c r="UZL20" s="21"/>
      <c r="UZM20" s="21"/>
      <c r="UZN20" s="21"/>
      <c r="UZO20" s="21"/>
      <c r="UZP20" s="21"/>
      <c r="UZQ20" s="21"/>
      <c r="UZR20" s="21"/>
      <c r="UZS20" s="21"/>
      <c r="UZT20" s="21"/>
      <c r="UZU20" s="21"/>
      <c r="UZV20" s="21"/>
      <c r="UZW20" s="21"/>
      <c r="UZX20" s="21"/>
      <c r="UZY20" s="21"/>
      <c r="UZZ20" s="21"/>
      <c r="VAA20" s="21"/>
      <c r="VAB20" s="21"/>
      <c r="VAC20" s="21"/>
      <c r="VAD20" s="21"/>
      <c r="VAE20" s="21"/>
      <c r="VAF20" s="21"/>
      <c r="VAG20" s="21"/>
      <c r="VAH20" s="21"/>
      <c r="VAI20" s="21"/>
      <c r="VAJ20" s="21"/>
      <c r="VAK20" s="21"/>
      <c r="VAL20" s="21"/>
      <c r="VAM20" s="21"/>
      <c r="VAN20" s="21"/>
      <c r="VAO20" s="21"/>
      <c r="VAP20" s="21"/>
      <c r="VAQ20" s="21"/>
      <c r="VAR20" s="21"/>
      <c r="VAS20" s="21"/>
      <c r="VAT20" s="21"/>
      <c r="VAU20" s="21"/>
      <c r="VAV20" s="21"/>
      <c r="VAW20" s="21"/>
      <c r="VAX20" s="21"/>
      <c r="VAY20" s="21"/>
      <c r="VAZ20" s="21"/>
      <c r="VBA20" s="21"/>
      <c r="VBB20" s="21"/>
      <c r="VBC20" s="21"/>
      <c r="VBD20" s="21"/>
      <c r="VBE20" s="21"/>
      <c r="VBF20" s="21"/>
      <c r="VBG20" s="21"/>
      <c r="VBH20" s="21"/>
      <c r="VBI20" s="21"/>
      <c r="VBJ20" s="21"/>
      <c r="VBK20" s="21"/>
      <c r="VBL20" s="21"/>
      <c r="VBM20" s="21"/>
      <c r="VBN20" s="21"/>
      <c r="VBO20" s="21"/>
      <c r="VBP20" s="21"/>
      <c r="VBQ20" s="21"/>
      <c r="VBR20" s="21"/>
      <c r="VBS20" s="21"/>
      <c r="VBT20" s="21"/>
      <c r="VBU20" s="21"/>
      <c r="VBV20" s="21"/>
      <c r="VBW20" s="21"/>
      <c r="VBX20" s="21"/>
      <c r="VBY20" s="21"/>
      <c r="VBZ20" s="21"/>
      <c r="VCA20" s="21"/>
      <c r="VCB20" s="21"/>
      <c r="VCC20" s="21"/>
      <c r="VCD20" s="21"/>
      <c r="VCE20" s="21"/>
      <c r="VCF20" s="21"/>
      <c r="VCG20" s="21"/>
      <c r="VCH20" s="21"/>
      <c r="VCI20" s="21"/>
      <c r="VCJ20" s="21"/>
      <c r="VCK20" s="21"/>
      <c r="VCL20" s="21"/>
      <c r="VCM20" s="21"/>
      <c r="VCN20" s="21"/>
      <c r="VCO20" s="21"/>
      <c r="VCP20" s="21"/>
      <c r="VCQ20" s="21"/>
      <c r="VCR20" s="21"/>
      <c r="VCS20" s="21"/>
      <c r="VCT20" s="21"/>
      <c r="VCU20" s="21"/>
      <c r="VCV20" s="21"/>
      <c r="VCW20" s="21"/>
      <c r="VCX20" s="21"/>
      <c r="VCY20" s="21"/>
      <c r="VCZ20" s="21"/>
      <c r="VDA20" s="21"/>
      <c r="VDB20" s="21"/>
      <c r="VDC20" s="21"/>
      <c r="VDD20" s="21"/>
      <c r="VDE20" s="21"/>
      <c r="VDF20" s="21"/>
      <c r="VDG20" s="21"/>
      <c r="VDH20" s="21"/>
      <c r="VDI20" s="21"/>
      <c r="VDJ20" s="21"/>
      <c r="VDK20" s="21"/>
      <c r="VDL20" s="21"/>
      <c r="VDM20" s="21"/>
      <c r="VDN20" s="21"/>
      <c r="VDO20" s="21"/>
      <c r="VDP20" s="21"/>
      <c r="VDQ20" s="21"/>
      <c r="VDR20" s="21"/>
      <c r="VDS20" s="21"/>
      <c r="VDT20" s="21"/>
      <c r="VDU20" s="21"/>
      <c r="VDV20" s="21"/>
      <c r="VDW20" s="21"/>
      <c r="VDX20" s="21"/>
      <c r="VDY20" s="21"/>
      <c r="VDZ20" s="21"/>
      <c r="VEA20" s="21"/>
      <c r="VEB20" s="21"/>
      <c r="VEC20" s="21"/>
      <c r="VED20" s="21"/>
      <c r="VEE20" s="21"/>
      <c r="VEF20" s="21"/>
      <c r="VEG20" s="21"/>
      <c r="VEH20" s="21"/>
      <c r="VEI20" s="21"/>
      <c r="VEJ20" s="21"/>
      <c r="VEK20" s="21"/>
      <c r="VEL20" s="21"/>
      <c r="VEM20" s="21"/>
      <c r="VEN20" s="21"/>
      <c r="VEO20" s="21"/>
      <c r="VEP20" s="21"/>
      <c r="VEQ20" s="21"/>
      <c r="VER20" s="21"/>
      <c r="VES20" s="21"/>
      <c r="VET20" s="21"/>
      <c r="VEU20" s="21"/>
      <c r="VEV20" s="21"/>
      <c r="VEW20" s="21"/>
      <c r="VEX20" s="21"/>
      <c r="VEY20" s="21"/>
      <c r="VEZ20" s="21"/>
      <c r="VFA20" s="21"/>
      <c r="VFB20" s="21"/>
      <c r="VFC20" s="21"/>
      <c r="VFD20" s="21"/>
      <c r="VFE20" s="21"/>
      <c r="VFF20" s="21"/>
      <c r="VFG20" s="21"/>
      <c r="VFH20" s="21"/>
      <c r="VFI20" s="21"/>
      <c r="VFJ20" s="21"/>
      <c r="VFK20" s="21"/>
      <c r="VFL20" s="21"/>
      <c r="VFM20" s="21"/>
      <c r="VFN20" s="21"/>
      <c r="VFO20" s="21"/>
      <c r="VFP20" s="21"/>
      <c r="VFQ20" s="21"/>
      <c r="VFR20" s="21"/>
      <c r="VFS20" s="21"/>
      <c r="VFT20" s="21"/>
      <c r="VFU20" s="21"/>
      <c r="VFV20" s="21"/>
      <c r="VFW20" s="21"/>
      <c r="VFX20" s="21"/>
      <c r="VFY20" s="21"/>
      <c r="VFZ20" s="21"/>
      <c r="VGA20" s="21"/>
      <c r="VGB20" s="21"/>
      <c r="VGC20" s="21"/>
      <c r="VGD20" s="21"/>
      <c r="VGE20" s="21"/>
      <c r="VGF20" s="21"/>
      <c r="VGG20" s="21"/>
      <c r="VGH20" s="21"/>
      <c r="VGI20" s="21"/>
      <c r="VGJ20" s="21"/>
      <c r="VGK20" s="21"/>
      <c r="VGL20" s="21"/>
      <c r="VGM20" s="21"/>
      <c r="VGN20" s="21"/>
      <c r="VGO20" s="21"/>
      <c r="VGP20" s="21"/>
      <c r="VGQ20" s="21"/>
      <c r="VGR20" s="21"/>
      <c r="VGS20" s="21"/>
      <c r="VGT20" s="21"/>
      <c r="VGU20" s="21"/>
      <c r="VGV20" s="21"/>
      <c r="VGW20" s="21"/>
      <c r="VGX20" s="21"/>
      <c r="VGY20" s="21"/>
      <c r="VGZ20" s="21"/>
      <c r="VHA20" s="21"/>
      <c r="VHB20" s="21"/>
      <c r="VHC20" s="21"/>
      <c r="VHD20" s="21"/>
      <c r="VHE20" s="21"/>
      <c r="VHF20" s="21"/>
      <c r="VHG20" s="21"/>
      <c r="VHH20" s="21"/>
      <c r="VHI20" s="21"/>
      <c r="VHJ20" s="21"/>
      <c r="VHK20" s="21"/>
      <c r="VHL20" s="21"/>
      <c r="VHM20" s="21"/>
      <c r="VHN20" s="21"/>
      <c r="VHO20" s="21"/>
      <c r="VHP20" s="21"/>
      <c r="VHQ20" s="21"/>
      <c r="VHR20" s="21"/>
      <c r="VHS20" s="21"/>
      <c r="VHT20" s="21"/>
      <c r="VHU20" s="21"/>
      <c r="VHV20" s="21"/>
      <c r="VHW20" s="21"/>
      <c r="VHX20" s="21"/>
      <c r="VHY20" s="21"/>
      <c r="VHZ20" s="21"/>
      <c r="VIA20" s="21"/>
      <c r="VIB20" s="21"/>
      <c r="VIC20" s="21"/>
      <c r="VID20" s="21"/>
      <c r="VIE20" s="21"/>
      <c r="VIF20" s="21"/>
      <c r="VIG20" s="21"/>
      <c r="VIH20" s="21"/>
      <c r="VII20" s="21"/>
      <c r="VIJ20" s="21"/>
      <c r="VIK20" s="21"/>
      <c r="VIL20" s="21"/>
      <c r="VIM20" s="21"/>
      <c r="VIN20" s="21"/>
      <c r="VIO20" s="21"/>
      <c r="VIP20" s="21"/>
      <c r="VIQ20" s="21"/>
      <c r="VIR20" s="21"/>
      <c r="VIS20" s="21"/>
      <c r="VIT20" s="21"/>
      <c r="VIU20" s="21"/>
      <c r="VIV20" s="21"/>
      <c r="VIW20" s="21"/>
      <c r="VIX20" s="21"/>
      <c r="VIY20" s="21"/>
      <c r="VIZ20" s="21"/>
      <c r="VJA20" s="21"/>
      <c r="VJB20" s="21"/>
      <c r="VJC20" s="21"/>
      <c r="VJD20" s="21"/>
      <c r="VJE20" s="21"/>
      <c r="VJF20" s="21"/>
      <c r="VJG20" s="21"/>
      <c r="VJH20" s="21"/>
      <c r="VJI20" s="21"/>
      <c r="VJJ20" s="21"/>
      <c r="VJK20" s="21"/>
      <c r="VJL20" s="21"/>
      <c r="VJM20" s="21"/>
      <c r="VJN20" s="21"/>
      <c r="VJO20" s="21"/>
      <c r="VJP20" s="21"/>
      <c r="VJQ20" s="21"/>
      <c r="VJR20" s="21"/>
      <c r="VJS20" s="21"/>
      <c r="VJT20" s="21"/>
      <c r="VJU20" s="21"/>
      <c r="VJV20" s="21"/>
      <c r="VJW20" s="21"/>
      <c r="VJX20" s="21"/>
      <c r="VJY20" s="21"/>
      <c r="VJZ20" s="21"/>
      <c r="VKA20" s="21"/>
      <c r="VKB20" s="21"/>
      <c r="VKC20" s="21"/>
      <c r="VKD20" s="21"/>
      <c r="VKE20" s="21"/>
      <c r="VKF20" s="21"/>
      <c r="VKG20" s="21"/>
      <c r="VKH20" s="21"/>
      <c r="VKI20" s="21"/>
      <c r="VKJ20" s="21"/>
      <c r="VKK20" s="21"/>
      <c r="VKL20" s="21"/>
      <c r="VKM20" s="21"/>
      <c r="VKN20" s="21"/>
      <c r="VKO20" s="21"/>
      <c r="VKP20" s="21"/>
      <c r="VKQ20" s="21"/>
      <c r="VKR20" s="21"/>
      <c r="VKS20" s="21"/>
      <c r="VKT20" s="21"/>
      <c r="VKU20" s="21"/>
      <c r="VKV20" s="21"/>
      <c r="VKW20" s="21"/>
      <c r="VKX20" s="21"/>
      <c r="VKY20" s="21"/>
      <c r="VKZ20" s="21"/>
      <c r="VLA20" s="21"/>
      <c r="VLB20" s="21"/>
      <c r="VLC20" s="21"/>
      <c r="VLD20" s="21"/>
      <c r="VLE20" s="21"/>
      <c r="VLF20" s="21"/>
      <c r="VLG20" s="21"/>
      <c r="VLH20" s="21"/>
      <c r="VLI20" s="21"/>
      <c r="VLJ20" s="21"/>
      <c r="VLK20" s="21"/>
      <c r="VLL20" s="21"/>
      <c r="VLM20" s="21"/>
      <c r="VLN20" s="21"/>
      <c r="VLO20" s="21"/>
      <c r="VLP20" s="21"/>
      <c r="VLQ20" s="21"/>
      <c r="VLR20" s="21"/>
      <c r="VLS20" s="21"/>
      <c r="VLT20" s="21"/>
      <c r="VLU20" s="21"/>
      <c r="VLV20" s="21"/>
      <c r="VLW20" s="21"/>
      <c r="VLX20" s="21"/>
      <c r="VLY20" s="21"/>
      <c r="VLZ20" s="21"/>
      <c r="VMA20" s="21"/>
      <c r="VMB20" s="21"/>
      <c r="VMC20" s="21"/>
      <c r="VMD20" s="21"/>
      <c r="VME20" s="21"/>
      <c r="VMF20" s="21"/>
      <c r="VMG20" s="21"/>
      <c r="VMH20" s="21"/>
      <c r="VMI20" s="21"/>
      <c r="VMJ20" s="21"/>
      <c r="VMK20" s="21"/>
      <c r="VML20" s="21"/>
      <c r="VMM20" s="21"/>
      <c r="VMN20" s="21"/>
      <c r="VMO20" s="21"/>
      <c r="VMP20" s="21"/>
      <c r="VMQ20" s="21"/>
      <c r="VMR20" s="21"/>
      <c r="VMS20" s="21"/>
      <c r="VMT20" s="21"/>
      <c r="VMU20" s="21"/>
      <c r="VMV20" s="21"/>
      <c r="VMW20" s="21"/>
      <c r="VMX20" s="21"/>
      <c r="VMY20" s="21"/>
      <c r="VMZ20" s="21"/>
      <c r="VNA20" s="21"/>
      <c r="VNB20" s="21"/>
      <c r="VNC20" s="21"/>
      <c r="VND20" s="21"/>
      <c r="VNE20" s="21"/>
      <c r="VNF20" s="21"/>
      <c r="VNG20" s="21"/>
      <c r="VNH20" s="21"/>
      <c r="VNI20" s="21"/>
      <c r="VNJ20" s="21"/>
      <c r="VNK20" s="21"/>
      <c r="VNL20" s="21"/>
      <c r="VNM20" s="21"/>
      <c r="VNN20" s="21"/>
      <c r="VNO20" s="21"/>
      <c r="VNP20" s="21"/>
      <c r="VNQ20" s="21"/>
      <c r="VNR20" s="21"/>
      <c r="VNS20" s="21"/>
      <c r="VNT20" s="21"/>
      <c r="VNU20" s="21"/>
      <c r="VNV20" s="21"/>
      <c r="VNW20" s="21"/>
      <c r="VNX20" s="21"/>
      <c r="VNY20" s="21"/>
      <c r="VNZ20" s="21"/>
      <c r="VOA20" s="21"/>
      <c r="VOB20" s="21"/>
      <c r="VOC20" s="21"/>
      <c r="VOD20" s="21"/>
      <c r="VOE20" s="21"/>
      <c r="VOF20" s="21"/>
      <c r="VOG20" s="21"/>
      <c r="VOH20" s="21"/>
      <c r="VOI20" s="21"/>
      <c r="VOJ20" s="21"/>
      <c r="VOK20" s="21"/>
      <c r="VOL20" s="21"/>
      <c r="VOM20" s="21"/>
      <c r="VON20" s="21"/>
      <c r="VOO20" s="21"/>
      <c r="VOP20" s="21"/>
      <c r="VOQ20" s="21"/>
      <c r="VOR20" s="21"/>
      <c r="VOS20" s="21"/>
      <c r="VOT20" s="21"/>
      <c r="VOU20" s="21"/>
      <c r="VOV20" s="21"/>
      <c r="VOW20" s="21"/>
      <c r="VOX20" s="21"/>
      <c r="VOY20" s="21"/>
      <c r="VOZ20" s="21"/>
      <c r="VPA20" s="21"/>
      <c r="VPB20" s="21"/>
      <c r="VPC20" s="21"/>
      <c r="VPD20" s="21"/>
      <c r="VPE20" s="21"/>
      <c r="VPF20" s="21"/>
      <c r="VPG20" s="21"/>
      <c r="VPH20" s="21"/>
      <c r="VPI20" s="21"/>
      <c r="VPJ20" s="21"/>
      <c r="VPK20" s="21"/>
      <c r="VPL20" s="21"/>
      <c r="VPM20" s="21"/>
      <c r="VPN20" s="21"/>
      <c r="VPO20" s="21"/>
      <c r="VPP20" s="21"/>
      <c r="VPQ20" s="21"/>
      <c r="VPR20" s="21"/>
      <c r="VPS20" s="21"/>
      <c r="VPT20" s="21"/>
      <c r="VPU20" s="21"/>
      <c r="VPV20" s="21"/>
      <c r="VPW20" s="21"/>
      <c r="VPX20" s="21"/>
      <c r="VPY20" s="21"/>
      <c r="VPZ20" s="21"/>
      <c r="VQA20" s="21"/>
      <c r="VQB20" s="21"/>
      <c r="VQC20" s="21"/>
      <c r="VQD20" s="21"/>
      <c r="VQE20" s="21"/>
      <c r="VQF20" s="21"/>
      <c r="VQG20" s="21"/>
      <c r="VQH20" s="21"/>
      <c r="VQI20" s="21"/>
      <c r="VQJ20" s="21"/>
      <c r="VQK20" s="21"/>
      <c r="VQL20" s="21"/>
      <c r="VQM20" s="21"/>
      <c r="VQN20" s="21"/>
      <c r="VQO20" s="21"/>
      <c r="VQP20" s="21"/>
      <c r="VQQ20" s="21"/>
      <c r="VQR20" s="21"/>
      <c r="VQS20" s="21"/>
      <c r="VQT20" s="21"/>
      <c r="VQU20" s="21"/>
      <c r="VQV20" s="21"/>
      <c r="VQW20" s="21"/>
      <c r="VQX20" s="21"/>
      <c r="VQY20" s="21"/>
      <c r="VQZ20" s="21"/>
      <c r="VRA20" s="21"/>
      <c r="VRB20" s="21"/>
      <c r="VRC20" s="21"/>
      <c r="VRD20" s="21"/>
      <c r="VRE20" s="21"/>
      <c r="VRF20" s="21"/>
      <c r="VRG20" s="21"/>
      <c r="VRH20" s="21"/>
      <c r="VRI20" s="21"/>
      <c r="VRJ20" s="21"/>
      <c r="VRK20" s="21"/>
      <c r="VRL20" s="21"/>
      <c r="VRM20" s="21"/>
      <c r="VRN20" s="21"/>
      <c r="VRO20" s="21"/>
      <c r="VRP20" s="21"/>
      <c r="VRQ20" s="21"/>
      <c r="VRR20" s="21"/>
      <c r="VRS20" s="21"/>
      <c r="VRT20" s="21"/>
      <c r="VRU20" s="21"/>
      <c r="VRV20" s="21"/>
      <c r="VRW20" s="21"/>
      <c r="VRX20" s="21"/>
      <c r="VRY20" s="21"/>
      <c r="VRZ20" s="21"/>
      <c r="VSA20" s="21"/>
      <c r="VSB20" s="21"/>
      <c r="VSC20" s="21"/>
      <c r="VSD20" s="21"/>
      <c r="VSE20" s="21"/>
      <c r="VSF20" s="21"/>
      <c r="VSG20" s="21"/>
      <c r="VSH20" s="21"/>
      <c r="VSI20" s="21"/>
      <c r="VSJ20" s="21"/>
      <c r="VSK20" s="21"/>
      <c r="VSL20" s="21"/>
      <c r="VSM20" s="21"/>
      <c r="VSN20" s="21"/>
      <c r="VSO20" s="21"/>
      <c r="VSP20" s="21"/>
      <c r="VSQ20" s="21"/>
      <c r="VSR20" s="21"/>
      <c r="VSS20" s="21"/>
      <c r="VST20" s="21"/>
      <c r="VSU20" s="21"/>
      <c r="VSV20" s="21"/>
      <c r="VSW20" s="21"/>
      <c r="VSX20" s="21"/>
      <c r="VSY20" s="21"/>
      <c r="VSZ20" s="21"/>
      <c r="VTA20" s="21"/>
      <c r="VTB20" s="21"/>
      <c r="VTC20" s="21"/>
      <c r="VTD20" s="21"/>
      <c r="VTE20" s="21"/>
      <c r="VTF20" s="21"/>
      <c r="VTG20" s="21"/>
      <c r="VTH20" s="21"/>
      <c r="VTI20" s="21"/>
      <c r="VTJ20" s="21"/>
      <c r="VTK20" s="21"/>
      <c r="VTL20" s="21"/>
      <c r="VTM20" s="21"/>
      <c r="VTN20" s="21"/>
      <c r="VTO20" s="21"/>
      <c r="VTP20" s="21"/>
      <c r="VTQ20" s="21"/>
      <c r="VTR20" s="21"/>
      <c r="VTS20" s="21"/>
      <c r="VTT20" s="21"/>
      <c r="VTU20" s="21"/>
      <c r="VTV20" s="21"/>
      <c r="VTW20" s="21"/>
      <c r="VTX20" s="21"/>
      <c r="VTY20" s="21"/>
      <c r="VTZ20" s="21"/>
      <c r="VUA20" s="21"/>
      <c r="VUB20" s="21"/>
      <c r="VUC20" s="21"/>
      <c r="VUD20" s="21"/>
      <c r="VUE20" s="21"/>
      <c r="VUF20" s="21"/>
      <c r="VUG20" s="21"/>
      <c r="VUH20" s="21"/>
      <c r="VUI20" s="21"/>
      <c r="VUJ20" s="21"/>
      <c r="VUK20" s="21"/>
      <c r="VUL20" s="21"/>
      <c r="VUM20" s="21"/>
      <c r="VUN20" s="21"/>
      <c r="VUO20" s="21"/>
      <c r="VUP20" s="21"/>
      <c r="VUQ20" s="21"/>
      <c r="VUR20" s="21"/>
      <c r="VUS20" s="21"/>
      <c r="VUT20" s="21"/>
      <c r="VUU20" s="21"/>
      <c r="VUV20" s="21"/>
      <c r="VUW20" s="21"/>
      <c r="VUX20" s="21"/>
      <c r="VUY20" s="21"/>
      <c r="VUZ20" s="21"/>
      <c r="VVA20" s="21"/>
      <c r="VVB20" s="21"/>
      <c r="VVC20" s="21"/>
      <c r="VVD20" s="21"/>
      <c r="VVE20" s="21"/>
      <c r="VVF20" s="21"/>
      <c r="VVG20" s="21"/>
      <c r="VVH20" s="21"/>
      <c r="VVI20" s="21"/>
      <c r="VVJ20" s="21"/>
      <c r="VVK20" s="21"/>
      <c r="VVL20" s="21"/>
      <c r="VVM20" s="21"/>
      <c r="VVN20" s="21"/>
      <c r="VVO20" s="21"/>
      <c r="VVP20" s="21"/>
      <c r="VVQ20" s="21"/>
      <c r="VVR20" s="21"/>
      <c r="VVS20" s="21"/>
      <c r="VVT20" s="21"/>
      <c r="VVU20" s="21"/>
      <c r="VVV20" s="21"/>
      <c r="VVW20" s="21"/>
      <c r="VVX20" s="21"/>
      <c r="VVY20" s="21"/>
      <c r="VVZ20" s="21"/>
      <c r="VWA20" s="21"/>
      <c r="VWB20" s="21"/>
      <c r="VWC20" s="21"/>
      <c r="VWD20" s="21"/>
      <c r="VWE20" s="21"/>
      <c r="VWF20" s="21"/>
      <c r="VWG20" s="21"/>
      <c r="VWH20" s="21"/>
      <c r="VWI20" s="21"/>
      <c r="VWJ20" s="21"/>
      <c r="VWK20" s="21"/>
      <c r="VWL20" s="21"/>
      <c r="VWM20" s="21"/>
      <c r="VWN20" s="21"/>
      <c r="VWO20" s="21"/>
      <c r="VWP20" s="21"/>
      <c r="VWQ20" s="21"/>
      <c r="VWR20" s="21"/>
      <c r="VWS20" s="21"/>
      <c r="VWT20" s="21"/>
      <c r="VWU20" s="21"/>
      <c r="VWV20" s="21"/>
      <c r="VWW20" s="21"/>
      <c r="VWX20" s="21"/>
      <c r="VWY20" s="21"/>
      <c r="VWZ20" s="21"/>
      <c r="VXA20" s="21"/>
      <c r="VXB20" s="21"/>
      <c r="VXC20" s="21"/>
      <c r="VXD20" s="21"/>
      <c r="VXE20" s="21"/>
      <c r="VXF20" s="21"/>
      <c r="VXG20" s="21"/>
      <c r="VXH20" s="21"/>
      <c r="VXI20" s="21"/>
      <c r="VXJ20" s="21"/>
      <c r="VXK20" s="21"/>
      <c r="VXL20" s="21"/>
      <c r="VXM20" s="21"/>
      <c r="VXN20" s="21"/>
      <c r="VXO20" s="21"/>
      <c r="VXP20" s="21"/>
      <c r="VXQ20" s="21"/>
      <c r="VXR20" s="21"/>
      <c r="VXS20" s="21"/>
      <c r="VXT20" s="21"/>
      <c r="VXU20" s="21"/>
      <c r="VXV20" s="21"/>
      <c r="VXW20" s="21"/>
      <c r="VXX20" s="21"/>
      <c r="VXY20" s="21"/>
      <c r="VXZ20" s="21"/>
      <c r="VYA20" s="21"/>
      <c r="VYB20" s="21"/>
      <c r="VYC20" s="21"/>
      <c r="VYD20" s="21"/>
      <c r="VYE20" s="21"/>
      <c r="VYF20" s="21"/>
      <c r="VYG20" s="21"/>
      <c r="VYH20" s="21"/>
      <c r="VYI20" s="21"/>
      <c r="VYJ20" s="21"/>
      <c r="VYK20" s="21"/>
      <c r="VYL20" s="21"/>
      <c r="VYM20" s="21"/>
      <c r="VYN20" s="21"/>
      <c r="VYO20" s="21"/>
      <c r="VYP20" s="21"/>
      <c r="VYQ20" s="21"/>
      <c r="VYR20" s="21"/>
      <c r="VYS20" s="21"/>
      <c r="VYT20" s="21"/>
      <c r="VYU20" s="21"/>
      <c r="VYV20" s="21"/>
      <c r="VYW20" s="21"/>
      <c r="VYX20" s="21"/>
      <c r="VYY20" s="21"/>
      <c r="VYZ20" s="21"/>
      <c r="VZA20" s="21"/>
      <c r="VZB20" s="21"/>
      <c r="VZC20" s="21"/>
      <c r="VZD20" s="21"/>
      <c r="VZE20" s="21"/>
      <c r="VZF20" s="21"/>
      <c r="VZG20" s="21"/>
      <c r="VZH20" s="21"/>
      <c r="VZI20" s="21"/>
      <c r="VZJ20" s="21"/>
      <c r="VZK20" s="21"/>
      <c r="VZL20" s="21"/>
      <c r="VZM20" s="21"/>
      <c r="VZN20" s="21"/>
      <c r="VZO20" s="21"/>
      <c r="VZP20" s="21"/>
      <c r="VZQ20" s="21"/>
      <c r="VZR20" s="21"/>
      <c r="VZS20" s="21"/>
      <c r="VZT20" s="21"/>
      <c r="VZU20" s="21"/>
      <c r="VZV20" s="21"/>
      <c r="VZW20" s="21"/>
      <c r="VZX20" s="21"/>
      <c r="VZY20" s="21"/>
      <c r="VZZ20" s="21"/>
      <c r="WAA20" s="21"/>
      <c r="WAB20" s="21"/>
      <c r="WAC20" s="21"/>
      <c r="WAD20" s="21"/>
      <c r="WAE20" s="21"/>
      <c r="WAF20" s="21"/>
      <c r="WAG20" s="21"/>
      <c r="WAH20" s="21"/>
      <c r="WAI20" s="21"/>
      <c r="WAJ20" s="21"/>
      <c r="WAK20" s="21"/>
      <c r="WAL20" s="21"/>
      <c r="WAM20" s="21"/>
      <c r="WAN20" s="21"/>
      <c r="WAO20" s="21"/>
      <c r="WAP20" s="21"/>
      <c r="WAQ20" s="21"/>
      <c r="WAR20" s="21"/>
      <c r="WAS20" s="21"/>
      <c r="WAT20" s="21"/>
      <c r="WAU20" s="21"/>
      <c r="WAV20" s="21"/>
      <c r="WAW20" s="21"/>
      <c r="WAX20" s="21"/>
      <c r="WAY20" s="21"/>
      <c r="WAZ20" s="21"/>
      <c r="WBA20" s="21"/>
      <c r="WBB20" s="21"/>
      <c r="WBC20" s="21"/>
      <c r="WBD20" s="21"/>
      <c r="WBE20" s="21"/>
      <c r="WBF20" s="21"/>
      <c r="WBG20" s="21"/>
      <c r="WBH20" s="21"/>
      <c r="WBI20" s="21"/>
      <c r="WBJ20" s="21"/>
      <c r="WBK20" s="21"/>
      <c r="WBL20" s="21"/>
      <c r="WBM20" s="21"/>
      <c r="WBN20" s="21"/>
      <c r="WBO20" s="21"/>
      <c r="WBP20" s="21"/>
      <c r="WBQ20" s="21"/>
      <c r="WBR20" s="21"/>
      <c r="WBS20" s="21"/>
      <c r="WBT20" s="21"/>
      <c r="WBU20" s="21"/>
      <c r="WBV20" s="21"/>
      <c r="WBW20" s="21"/>
      <c r="WBX20" s="21"/>
      <c r="WBY20" s="21"/>
      <c r="WBZ20" s="21"/>
      <c r="WCA20" s="21"/>
      <c r="WCB20" s="21"/>
      <c r="WCC20" s="21"/>
      <c r="WCD20" s="21"/>
      <c r="WCE20" s="21"/>
      <c r="WCF20" s="21"/>
      <c r="WCG20" s="21"/>
      <c r="WCH20" s="21"/>
      <c r="WCI20" s="21"/>
      <c r="WCJ20" s="21"/>
      <c r="WCK20" s="21"/>
      <c r="WCL20" s="21"/>
      <c r="WCM20" s="21"/>
      <c r="WCN20" s="21"/>
      <c r="WCO20" s="21"/>
      <c r="WCP20" s="21"/>
      <c r="WCQ20" s="21"/>
      <c r="WCR20" s="21"/>
      <c r="WCS20" s="21"/>
      <c r="WCT20" s="21"/>
      <c r="WCU20" s="21"/>
      <c r="WCV20" s="21"/>
      <c r="WCW20" s="21"/>
      <c r="WCX20" s="21"/>
      <c r="WCY20" s="21"/>
      <c r="WCZ20" s="21"/>
      <c r="WDA20" s="21"/>
      <c r="WDB20" s="21"/>
      <c r="WDC20" s="21"/>
      <c r="WDD20" s="21"/>
      <c r="WDE20" s="21"/>
      <c r="WDF20" s="21"/>
      <c r="WDG20" s="21"/>
      <c r="WDH20" s="21"/>
      <c r="WDI20" s="21"/>
      <c r="WDJ20" s="21"/>
      <c r="WDK20" s="21"/>
      <c r="WDL20" s="21"/>
      <c r="WDM20" s="21"/>
      <c r="WDN20" s="21"/>
      <c r="WDO20" s="21"/>
      <c r="WDP20" s="21"/>
      <c r="WDQ20" s="21"/>
      <c r="WDR20" s="21"/>
      <c r="WDS20" s="21"/>
      <c r="WDT20" s="21"/>
      <c r="WDU20" s="21"/>
      <c r="WDV20" s="21"/>
      <c r="WDW20" s="21"/>
      <c r="WDX20" s="21"/>
      <c r="WDY20" s="21"/>
      <c r="WDZ20" s="21"/>
      <c r="WEA20" s="21"/>
      <c r="WEB20" s="21"/>
      <c r="WEC20" s="21"/>
      <c r="WED20" s="21"/>
      <c r="WEE20" s="21"/>
      <c r="WEF20" s="21"/>
      <c r="WEG20" s="21"/>
      <c r="WEH20" s="21"/>
      <c r="WEI20" s="21"/>
      <c r="WEJ20" s="21"/>
      <c r="WEK20" s="21"/>
      <c r="WEL20" s="21"/>
      <c r="WEM20" s="21"/>
      <c r="WEN20" s="21"/>
      <c r="WEO20" s="21"/>
      <c r="WEP20" s="21"/>
      <c r="WEQ20" s="21"/>
      <c r="WER20" s="21"/>
      <c r="WES20" s="21"/>
      <c r="WET20" s="21"/>
      <c r="WEU20" s="21"/>
      <c r="WEV20" s="21"/>
      <c r="WEW20" s="21"/>
      <c r="WEX20" s="21"/>
      <c r="WEY20" s="21"/>
      <c r="WEZ20" s="21"/>
      <c r="WFA20" s="21"/>
      <c r="WFB20" s="21"/>
      <c r="WFC20" s="21"/>
      <c r="WFD20" s="21"/>
      <c r="WFE20" s="21"/>
      <c r="WFF20" s="21"/>
      <c r="WFG20" s="21"/>
      <c r="WFH20" s="21"/>
      <c r="WFI20" s="21"/>
      <c r="WFJ20" s="21"/>
      <c r="WFK20" s="21"/>
      <c r="WFL20" s="21"/>
      <c r="WFM20" s="21"/>
      <c r="WFN20" s="21"/>
      <c r="WFO20" s="21"/>
      <c r="WFP20" s="21"/>
      <c r="WFQ20" s="21"/>
      <c r="WFR20" s="21"/>
      <c r="WFS20" s="21"/>
      <c r="WFT20" s="21"/>
      <c r="WFU20" s="21"/>
      <c r="WFV20" s="21"/>
      <c r="WFW20" s="21"/>
      <c r="WFX20" s="21"/>
      <c r="WFY20" s="21"/>
      <c r="WFZ20" s="21"/>
      <c r="WGA20" s="21"/>
      <c r="WGB20" s="21"/>
      <c r="WGC20" s="21"/>
      <c r="WGD20" s="21"/>
      <c r="WGE20" s="21"/>
      <c r="WGF20" s="21"/>
      <c r="WGG20" s="21"/>
      <c r="WGH20" s="21"/>
      <c r="WGI20" s="21"/>
      <c r="WGJ20" s="21"/>
      <c r="WGK20" s="21"/>
      <c r="WGL20" s="21"/>
      <c r="WGM20" s="21"/>
      <c r="WGN20" s="21"/>
      <c r="WGO20" s="21"/>
      <c r="WGP20" s="21"/>
      <c r="WGQ20" s="21"/>
      <c r="WGR20" s="21"/>
      <c r="WGS20" s="21"/>
      <c r="WGT20" s="21"/>
      <c r="WGU20" s="21"/>
      <c r="WGV20" s="21"/>
      <c r="WGW20" s="21"/>
      <c r="WGX20" s="21"/>
      <c r="WGY20" s="21"/>
      <c r="WGZ20" s="21"/>
      <c r="WHA20" s="21"/>
      <c r="WHB20" s="21"/>
      <c r="WHC20" s="21"/>
      <c r="WHD20" s="21"/>
      <c r="WHE20" s="21"/>
      <c r="WHF20" s="21"/>
      <c r="WHG20" s="21"/>
      <c r="WHH20" s="21"/>
      <c r="WHI20" s="21"/>
      <c r="WHJ20" s="21"/>
      <c r="WHK20" s="21"/>
      <c r="WHL20" s="21"/>
      <c r="WHM20" s="21"/>
      <c r="WHN20" s="21"/>
      <c r="WHO20" s="21"/>
      <c r="WHP20" s="21"/>
      <c r="WHQ20" s="21"/>
      <c r="WHR20" s="21"/>
      <c r="WHS20" s="21"/>
      <c r="WHT20" s="21"/>
      <c r="WHU20" s="21"/>
      <c r="WHV20" s="21"/>
      <c r="WHW20" s="21"/>
      <c r="WHX20" s="21"/>
      <c r="WHY20" s="21"/>
      <c r="WHZ20" s="21"/>
      <c r="WIA20" s="21"/>
      <c r="WIB20" s="21"/>
      <c r="WIC20" s="21"/>
      <c r="WID20" s="21"/>
      <c r="WIE20" s="21"/>
      <c r="WIF20" s="21"/>
      <c r="WIG20" s="21"/>
      <c r="WIH20" s="21"/>
      <c r="WII20" s="21"/>
      <c r="WIJ20" s="21"/>
      <c r="WIK20" s="21"/>
      <c r="WIL20" s="21"/>
      <c r="WIM20" s="21"/>
      <c r="WIN20" s="21"/>
      <c r="WIO20" s="21"/>
      <c r="WIP20" s="21"/>
      <c r="WIQ20" s="21"/>
      <c r="WIR20" s="21"/>
      <c r="WIS20" s="21"/>
      <c r="WIT20" s="21"/>
      <c r="WIU20" s="21"/>
      <c r="WIV20" s="21"/>
      <c r="WIW20" s="21"/>
      <c r="WIX20" s="21"/>
      <c r="WIY20" s="21"/>
      <c r="WIZ20" s="21"/>
      <c r="WJA20" s="21"/>
      <c r="WJB20" s="21"/>
      <c r="WJC20" s="21"/>
      <c r="WJD20" s="21"/>
      <c r="WJE20" s="21"/>
      <c r="WJF20" s="21"/>
      <c r="WJG20" s="21"/>
      <c r="WJH20" s="21"/>
      <c r="WJI20" s="21"/>
      <c r="WJJ20" s="21"/>
      <c r="WJK20" s="21"/>
      <c r="WJL20" s="21"/>
      <c r="WJM20" s="21"/>
      <c r="WJN20" s="21"/>
      <c r="WJO20" s="21"/>
      <c r="WJP20" s="21"/>
      <c r="WJQ20" s="21"/>
      <c r="WJR20" s="21"/>
      <c r="WJS20" s="21"/>
      <c r="WJT20" s="21"/>
      <c r="WJU20" s="21"/>
      <c r="WJV20" s="21"/>
      <c r="WJW20" s="21"/>
      <c r="WJX20" s="21"/>
      <c r="WJY20" s="21"/>
      <c r="WJZ20" s="21"/>
      <c r="WKA20" s="21"/>
      <c r="WKB20" s="21"/>
      <c r="WKC20" s="21"/>
      <c r="WKD20" s="21"/>
      <c r="WKE20" s="21"/>
      <c r="WKF20" s="21"/>
      <c r="WKG20" s="21"/>
      <c r="WKH20" s="21"/>
      <c r="WKI20" s="21"/>
      <c r="WKJ20" s="21"/>
      <c r="WKK20" s="21"/>
      <c r="WKL20" s="21"/>
      <c r="WKM20" s="21"/>
      <c r="WKN20" s="21"/>
      <c r="WKO20" s="21"/>
      <c r="WKP20" s="21"/>
      <c r="WKQ20" s="21"/>
      <c r="WKR20" s="21"/>
      <c r="WKS20" s="21"/>
      <c r="WKT20" s="21"/>
      <c r="WKU20" s="21"/>
      <c r="WKV20" s="21"/>
      <c r="WKW20" s="21"/>
      <c r="WKX20" s="21"/>
      <c r="WKY20" s="21"/>
      <c r="WKZ20" s="21"/>
      <c r="WLA20" s="21"/>
      <c r="WLB20" s="21"/>
      <c r="WLC20" s="21"/>
      <c r="WLD20" s="21"/>
      <c r="WLE20" s="21"/>
      <c r="WLF20" s="21"/>
      <c r="WLG20" s="21"/>
      <c r="WLH20" s="21"/>
      <c r="WLI20" s="21"/>
      <c r="WLJ20" s="21"/>
      <c r="WLK20" s="21"/>
      <c r="WLL20" s="21"/>
      <c r="WLM20" s="21"/>
      <c r="WLN20" s="21"/>
      <c r="WLO20" s="21"/>
      <c r="WLP20" s="21"/>
      <c r="WLQ20" s="21"/>
      <c r="WLR20" s="21"/>
      <c r="WLS20" s="21"/>
      <c r="WLT20" s="21"/>
      <c r="WLU20" s="21"/>
      <c r="WLV20" s="21"/>
      <c r="WLW20" s="21"/>
      <c r="WLX20" s="21"/>
      <c r="WLY20" s="21"/>
      <c r="WLZ20" s="21"/>
      <c r="WMA20" s="21"/>
      <c r="WMB20" s="21"/>
      <c r="WMC20" s="21"/>
      <c r="WMD20" s="21"/>
      <c r="WME20" s="21"/>
      <c r="WMF20" s="21"/>
      <c r="WMG20" s="21"/>
      <c r="WMH20" s="21"/>
      <c r="WMI20" s="21"/>
      <c r="WMJ20" s="21"/>
      <c r="WMK20" s="21"/>
      <c r="WML20" s="21"/>
      <c r="WMM20" s="21"/>
      <c r="WMN20" s="21"/>
      <c r="WMO20" s="21"/>
      <c r="WMP20" s="21"/>
      <c r="WMQ20" s="21"/>
      <c r="WMR20" s="21"/>
      <c r="WMS20" s="21"/>
      <c r="WMT20" s="21"/>
      <c r="WMU20" s="21"/>
      <c r="WMV20" s="21"/>
      <c r="WMW20" s="21"/>
      <c r="WMX20" s="21"/>
      <c r="WMY20" s="21"/>
      <c r="WMZ20" s="21"/>
      <c r="WNA20" s="21"/>
      <c r="WNB20" s="21"/>
      <c r="WNC20" s="21"/>
      <c r="WND20" s="21"/>
      <c r="WNE20" s="21"/>
      <c r="WNF20" s="21"/>
      <c r="WNG20" s="21"/>
      <c r="WNH20" s="21"/>
      <c r="WNI20" s="21"/>
      <c r="WNJ20" s="21"/>
      <c r="WNK20" s="21"/>
      <c r="WNL20" s="21"/>
      <c r="WNM20" s="21"/>
      <c r="WNN20" s="21"/>
      <c r="WNO20" s="21"/>
      <c r="WNP20" s="21"/>
      <c r="WNQ20" s="21"/>
      <c r="WNR20" s="21"/>
      <c r="WNS20" s="21"/>
      <c r="WNT20" s="21"/>
      <c r="WNU20" s="21"/>
      <c r="WNV20" s="21"/>
      <c r="WNW20" s="21"/>
      <c r="WNX20" s="21"/>
      <c r="WNY20" s="21"/>
      <c r="WNZ20" s="21"/>
      <c r="WOA20" s="21"/>
      <c r="WOB20" s="21"/>
      <c r="WOC20" s="21"/>
      <c r="WOD20" s="21"/>
      <c r="WOE20" s="21"/>
      <c r="WOF20" s="21"/>
      <c r="WOG20" s="21"/>
      <c r="WOH20" s="21"/>
      <c r="WOI20" s="21"/>
      <c r="WOJ20" s="21"/>
      <c r="WOK20" s="21"/>
      <c r="WOL20" s="21"/>
      <c r="WOM20" s="21"/>
      <c r="WON20" s="21"/>
      <c r="WOO20" s="21"/>
      <c r="WOP20" s="21"/>
      <c r="WOQ20" s="21"/>
      <c r="WOR20" s="21"/>
      <c r="WOS20" s="21"/>
      <c r="WOT20" s="21"/>
      <c r="WOU20" s="21"/>
      <c r="WOV20" s="21"/>
      <c r="WOW20" s="21"/>
      <c r="WOX20" s="21"/>
      <c r="WOY20" s="21"/>
      <c r="WOZ20" s="21"/>
      <c r="WPA20" s="21"/>
      <c r="WPB20" s="21"/>
      <c r="WPC20" s="21"/>
      <c r="WPD20" s="21"/>
      <c r="WPE20" s="21"/>
      <c r="WPF20" s="21"/>
      <c r="WPG20" s="21"/>
      <c r="WPH20" s="21"/>
      <c r="WPI20" s="21"/>
      <c r="WPJ20" s="21"/>
      <c r="WPK20" s="21"/>
      <c r="WPL20" s="21"/>
      <c r="WPM20" s="21"/>
      <c r="WPN20" s="21"/>
      <c r="WPO20" s="21"/>
      <c r="WPP20" s="21"/>
      <c r="WPQ20" s="21"/>
      <c r="WPR20" s="21"/>
      <c r="WPS20" s="21"/>
      <c r="WPT20" s="21"/>
      <c r="WPU20" s="21"/>
      <c r="WPV20" s="21"/>
      <c r="WPW20" s="21"/>
      <c r="WPX20" s="21"/>
      <c r="WPY20" s="21"/>
      <c r="WPZ20" s="21"/>
      <c r="WQA20" s="21"/>
      <c r="WQB20" s="21"/>
      <c r="WQC20" s="21"/>
      <c r="WQD20" s="21"/>
      <c r="WQE20" s="21"/>
      <c r="WQF20" s="21"/>
      <c r="WQG20" s="21"/>
      <c r="WQH20" s="21"/>
      <c r="WQI20" s="21"/>
      <c r="WQJ20" s="21"/>
      <c r="WQK20" s="21"/>
      <c r="WQL20" s="21"/>
      <c r="WQM20" s="21"/>
      <c r="WQN20" s="21"/>
      <c r="WQO20" s="21"/>
      <c r="WQP20" s="21"/>
      <c r="WQQ20" s="21"/>
      <c r="WQR20" s="21"/>
      <c r="WQS20" s="21"/>
      <c r="WQT20" s="21"/>
      <c r="WQU20" s="21"/>
      <c r="WQV20" s="21"/>
      <c r="WQW20" s="21"/>
      <c r="WQX20" s="21"/>
      <c r="WQY20" s="21"/>
      <c r="WQZ20" s="21"/>
      <c r="WRA20" s="21"/>
      <c r="WRB20" s="21"/>
      <c r="WRC20" s="21"/>
      <c r="WRD20" s="21"/>
      <c r="WRE20" s="21"/>
      <c r="WRF20" s="21"/>
      <c r="WRG20" s="21"/>
      <c r="WRH20" s="21"/>
      <c r="WRI20" s="21"/>
      <c r="WRJ20" s="21"/>
      <c r="WRK20" s="21"/>
      <c r="WRL20" s="21"/>
      <c r="WRM20" s="21"/>
      <c r="WRN20" s="21"/>
      <c r="WRO20" s="21"/>
      <c r="WRP20" s="21"/>
      <c r="WRQ20" s="21"/>
      <c r="WRR20" s="21"/>
      <c r="WRS20" s="21"/>
      <c r="WRT20" s="21"/>
      <c r="WRU20" s="21"/>
      <c r="WRV20" s="21"/>
      <c r="WRW20" s="21"/>
      <c r="WRX20" s="21"/>
      <c r="WRY20" s="21"/>
      <c r="WRZ20" s="21"/>
      <c r="WSA20" s="21"/>
      <c r="WSB20" s="21"/>
      <c r="WSC20" s="21"/>
      <c r="WSD20" s="21"/>
      <c r="WSE20" s="21"/>
      <c r="WSF20" s="21"/>
      <c r="WSG20" s="21"/>
      <c r="WSH20" s="21"/>
      <c r="WSI20" s="21"/>
      <c r="WSJ20" s="21"/>
      <c r="WSK20" s="21"/>
      <c r="WSL20" s="21"/>
      <c r="WSM20" s="21"/>
      <c r="WSN20" s="21"/>
      <c r="WSO20" s="21"/>
      <c r="WSP20" s="21"/>
      <c r="WSQ20" s="21"/>
      <c r="WSR20" s="21"/>
      <c r="WSS20" s="21"/>
      <c r="WST20" s="21"/>
      <c r="WSU20" s="21"/>
      <c r="WSV20" s="21"/>
      <c r="WSW20" s="21"/>
      <c r="WSX20" s="21"/>
      <c r="WSY20" s="21"/>
      <c r="WSZ20" s="21"/>
      <c r="WTA20" s="21"/>
      <c r="WTB20" s="21"/>
      <c r="WTC20" s="21"/>
      <c r="WTD20" s="21"/>
      <c r="WTE20" s="21"/>
      <c r="WTF20" s="21"/>
      <c r="WTG20" s="21"/>
      <c r="WTH20" s="21"/>
      <c r="WTI20" s="21"/>
      <c r="WTJ20" s="21"/>
      <c r="WTK20" s="21"/>
      <c r="WTL20" s="21"/>
      <c r="WTM20" s="21"/>
      <c r="WTN20" s="21"/>
      <c r="WTO20" s="21"/>
      <c r="WTP20" s="21"/>
      <c r="WTQ20" s="21"/>
      <c r="WTR20" s="21"/>
      <c r="WTS20" s="21"/>
      <c r="WTT20" s="21"/>
      <c r="WTU20" s="21"/>
      <c r="WTV20" s="21"/>
      <c r="WTW20" s="21"/>
      <c r="WTX20" s="21"/>
      <c r="WTY20" s="21"/>
      <c r="WTZ20" s="21"/>
      <c r="WUA20" s="21"/>
      <c r="WUB20" s="21"/>
      <c r="WUC20" s="21"/>
      <c r="WUD20" s="21"/>
      <c r="WUE20" s="21"/>
      <c r="WUF20" s="21"/>
      <c r="WUG20" s="21"/>
      <c r="WUH20" s="21"/>
      <c r="WUI20" s="21"/>
      <c r="WUJ20" s="21"/>
      <c r="WUK20" s="21"/>
      <c r="WUL20" s="21"/>
      <c r="WUM20" s="21"/>
      <c r="WUN20" s="21"/>
      <c r="WUO20" s="21"/>
      <c r="WUP20" s="21"/>
      <c r="WUQ20" s="21"/>
      <c r="WUR20" s="21"/>
      <c r="WUS20" s="21"/>
      <c r="WUT20" s="21"/>
      <c r="WUU20" s="21"/>
      <c r="WUV20" s="21"/>
      <c r="WUW20" s="21"/>
      <c r="WUX20" s="21"/>
      <c r="WUY20" s="21"/>
      <c r="WUZ20" s="21"/>
      <c r="WVA20" s="21"/>
      <c r="WVB20" s="21"/>
      <c r="WVC20" s="21"/>
      <c r="WVD20" s="21"/>
      <c r="WVE20" s="21"/>
      <c r="WVF20" s="21"/>
      <c r="WVG20" s="21"/>
      <c r="WVH20" s="21"/>
      <c r="WVI20" s="21"/>
      <c r="WVJ20" s="21"/>
      <c r="WVK20" s="21"/>
      <c r="WVL20" s="21"/>
      <c r="WVM20" s="21"/>
      <c r="WVN20" s="21"/>
      <c r="WVO20" s="21"/>
      <c r="WVP20" s="21"/>
      <c r="WVQ20" s="21"/>
      <c r="WVR20" s="21"/>
      <c r="WVS20" s="21"/>
      <c r="WVT20" s="21"/>
      <c r="WVU20" s="21"/>
      <c r="WVV20" s="21"/>
      <c r="WVW20" s="21"/>
      <c r="WVX20" s="21"/>
      <c r="WVY20" s="21"/>
      <c r="WVZ20" s="21"/>
      <c r="WWA20" s="21"/>
      <c r="WWB20" s="21"/>
      <c r="WWC20" s="21"/>
      <c r="WWD20" s="21"/>
      <c r="WWE20" s="21"/>
      <c r="WWF20" s="21"/>
      <c r="WWG20" s="21"/>
      <c r="WWH20" s="21"/>
      <c r="WWI20" s="21"/>
      <c r="WWJ20" s="21"/>
      <c r="WWK20" s="21"/>
      <c r="WWL20" s="21"/>
      <c r="WWM20" s="21"/>
      <c r="WWN20" s="21"/>
      <c r="WWO20" s="21"/>
      <c r="WWP20" s="21"/>
      <c r="WWQ20" s="21"/>
      <c r="WWR20" s="21"/>
      <c r="WWS20" s="21"/>
      <c r="WWT20" s="21"/>
      <c r="WWU20" s="21"/>
      <c r="WWV20" s="21"/>
      <c r="WWW20" s="21"/>
      <c r="WWX20" s="21"/>
      <c r="WWY20" s="21"/>
      <c r="WWZ20" s="21"/>
      <c r="WXA20" s="21"/>
      <c r="WXB20" s="21"/>
      <c r="WXC20" s="21"/>
      <c r="WXD20" s="21"/>
      <c r="WXE20" s="21"/>
      <c r="WXF20" s="21"/>
      <c r="WXG20" s="21"/>
      <c r="WXH20" s="21"/>
      <c r="WXI20" s="21"/>
      <c r="WXJ20" s="21"/>
      <c r="WXK20" s="21"/>
      <c r="WXL20" s="21"/>
      <c r="WXM20" s="21"/>
      <c r="WXN20" s="21"/>
      <c r="WXO20" s="21"/>
      <c r="WXP20" s="21"/>
      <c r="WXQ20" s="21"/>
      <c r="WXR20" s="21"/>
      <c r="WXS20" s="21"/>
      <c r="WXT20" s="21"/>
      <c r="WXU20" s="21"/>
      <c r="WXV20" s="21"/>
      <c r="WXW20" s="21"/>
      <c r="WXX20" s="21"/>
      <c r="WXY20" s="21"/>
      <c r="WXZ20" s="21"/>
      <c r="WYA20" s="21"/>
      <c r="WYB20" s="21"/>
      <c r="WYC20" s="21"/>
      <c r="WYD20" s="21"/>
      <c r="WYE20" s="21"/>
      <c r="WYF20" s="21"/>
      <c r="WYG20" s="21"/>
      <c r="WYH20" s="21"/>
      <c r="WYI20" s="21"/>
      <c r="WYJ20" s="21"/>
      <c r="WYK20" s="21"/>
      <c r="WYL20" s="21"/>
      <c r="WYM20" s="21"/>
      <c r="WYN20" s="21"/>
      <c r="WYO20" s="21"/>
      <c r="WYP20" s="21"/>
      <c r="WYQ20" s="21"/>
      <c r="WYR20" s="21"/>
      <c r="WYS20" s="21"/>
      <c r="WYT20" s="21"/>
      <c r="WYU20" s="21"/>
      <c r="WYV20" s="21"/>
      <c r="WYW20" s="21"/>
      <c r="WYX20" s="21"/>
      <c r="WYY20" s="21"/>
      <c r="WYZ20" s="21"/>
      <c r="WZA20" s="21"/>
      <c r="WZB20" s="21"/>
      <c r="WZC20" s="21"/>
      <c r="WZD20" s="21"/>
      <c r="WZE20" s="21"/>
      <c r="WZF20" s="21"/>
      <c r="WZG20" s="21"/>
      <c r="WZH20" s="21"/>
      <c r="WZI20" s="21"/>
      <c r="WZJ20" s="21"/>
      <c r="WZK20" s="21"/>
      <c r="WZL20" s="21"/>
      <c r="WZM20" s="21"/>
      <c r="WZN20" s="21"/>
      <c r="WZO20" s="21"/>
      <c r="WZP20" s="21"/>
      <c r="WZQ20" s="21"/>
      <c r="WZR20" s="21"/>
      <c r="WZS20" s="21"/>
      <c r="WZT20" s="21"/>
      <c r="WZU20" s="21"/>
      <c r="WZV20" s="21"/>
      <c r="WZW20" s="21"/>
      <c r="WZX20" s="21"/>
      <c r="WZY20" s="21"/>
      <c r="WZZ20" s="21"/>
      <c r="XAA20" s="21"/>
      <c r="XAB20" s="21"/>
      <c r="XAC20" s="21"/>
      <c r="XAD20" s="21"/>
      <c r="XAE20" s="21"/>
      <c r="XAF20" s="21"/>
      <c r="XAG20" s="21"/>
      <c r="XAH20" s="21"/>
      <c r="XAI20" s="21"/>
      <c r="XAJ20" s="21"/>
      <c r="XAK20" s="21"/>
      <c r="XAL20" s="21"/>
      <c r="XAM20" s="21"/>
      <c r="XAN20" s="21"/>
      <c r="XAO20" s="21"/>
      <c r="XAP20" s="21"/>
      <c r="XAQ20" s="21"/>
      <c r="XAR20" s="21"/>
      <c r="XAS20" s="21"/>
      <c r="XAT20" s="21"/>
      <c r="XAU20" s="21"/>
      <c r="XAV20" s="21"/>
      <c r="XAW20" s="21"/>
      <c r="XAX20" s="21"/>
      <c r="XAY20" s="21"/>
      <c r="XAZ20" s="21"/>
      <c r="XBA20" s="21"/>
      <c r="XBB20" s="21"/>
      <c r="XBC20" s="21"/>
      <c r="XBD20" s="21"/>
      <c r="XBE20" s="21"/>
      <c r="XBF20" s="21"/>
      <c r="XBG20" s="21"/>
      <c r="XBH20" s="21"/>
      <c r="XBI20" s="21"/>
      <c r="XBJ20" s="21"/>
      <c r="XBK20" s="21"/>
      <c r="XBL20" s="21"/>
      <c r="XBM20" s="21"/>
      <c r="XBN20" s="21"/>
      <c r="XBO20" s="21"/>
      <c r="XBP20" s="21"/>
      <c r="XBQ20" s="21"/>
      <c r="XBR20" s="21"/>
      <c r="XBS20" s="21"/>
      <c r="XBT20" s="21"/>
      <c r="XBU20" s="21"/>
      <c r="XBV20" s="21"/>
      <c r="XBW20" s="21"/>
      <c r="XBX20" s="21"/>
      <c r="XBY20" s="21"/>
      <c r="XBZ20" s="21"/>
      <c r="XCA20" s="21"/>
      <c r="XCB20" s="21"/>
      <c r="XCC20" s="21"/>
      <c r="XCD20" s="21"/>
      <c r="XCE20" s="21"/>
      <c r="XCF20" s="21"/>
      <c r="XCG20" s="21"/>
      <c r="XCH20" s="21"/>
      <c r="XCI20" s="21"/>
      <c r="XCJ20" s="21"/>
      <c r="XCK20" s="21"/>
      <c r="XCL20" s="21"/>
      <c r="XCM20" s="21"/>
      <c r="XCN20" s="21"/>
      <c r="XCO20" s="21"/>
      <c r="XCP20" s="21"/>
      <c r="XCQ20" s="21"/>
      <c r="XCR20" s="21"/>
      <c r="XCS20" s="21"/>
      <c r="XCT20" s="21"/>
      <c r="XCU20" s="21"/>
      <c r="XCV20" s="21"/>
      <c r="XCW20" s="21"/>
      <c r="XCX20" s="21"/>
      <c r="XCY20" s="21"/>
      <c r="XCZ20" s="21"/>
      <c r="XDA20" s="21"/>
      <c r="XDB20" s="21"/>
      <c r="XDC20" s="21"/>
      <c r="XDD20" s="21"/>
      <c r="XDE20" s="21"/>
      <c r="XDF20" s="21"/>
      <c r="XDG20" s="21"/>
      <c r="XDH20" s="21"/>
      <c r="XDI20" s="21"/>
      <c r="XDJ20" s="21"/>
      <c r="XDK20" s="21"/>
      <c r="XDL20" s="21"/>
      <c r="XDM20" s="21"/>
      <c r="XDN20" s="21"/>
      <c r="XDO20" s="21"/>
      <c r="XDP20" s="21"/>
      <c r="XDQ20" s="21"/>
      <c r="XDR20" s="21"/>
      <c r="XDS20" s="21"/>
      <c r="XDT20" s="21"/>
      <c r="XDU20" s="21"/>
      <c r="XDV20" s="21"/>
      <c r="XDW20" s="21"/>
      <c r="XDX20" s="21"/>
      <c r="XDY20" s="21"/>
      <c r="XDZ20" s="21"/>
      <c r="XEA20" s="21"/>
      <c r="XEB20" s="21"/>
      <c r="XEC20" s="21"/>
      <c r="XED20" s="21"/>
      <c r="XEE20" s="21"/>
      <c r="XEF20" s="21"/>
      <c r="XEG20" s="21"/>
      <c r="XEH20" s="21"/>
      <c r="XEI20" s="21"/>
      <c r="XEJ20" s="21"/>
      <c r="XEK20" s="21"/>
      <c r="XEL20" s="21"/>
      <c r="XEM20" s="21"/>
      <c r="XEN20" s="21"/>
      <c r="XEO20" s="21"/>
      <c r="XEP20" s="21"/>
      <c r="XEQ20" s="21"/>
      <c r="XER20" s="21"/>
      <c r="XES20" s="21"/>
      <c r="XET20" s="21"/>
      <c r="XEU20" s="21"/>
      <c r="XEV20" s="21"/>
      <c r="XEW20" s="21"/>
      <c r="XEX20" s="21"/>
      <c r="XEY20" s="21"/>
      <c r="XEZ20" s="21"/>
      <c r="XFA20" s="21"/>
      <c r="XFB20" s="21"/>
      <c r="XFC20" s="21"/>
      <c r="XFD20" s="21"/>
    </row>
    <row r="21" spans="2:16384" x14ac:dyDescent="0.25">
      <c r="B21" s="15" t="s">
        <v>199</v>
      </c>
      <c r="C21" s="11">
        <v>2454709000</v>
      </c>
      <c r="D21" s="11">
        <v>-3300089000</v>
      </c>
      <c r="E21" s="11">
        <v>-3541456000</v>
      </c>
      <c r="F21" s="11">
        <v>5032336000</v>
      </c>
      <c r="G21" s="12">
        <v>3894501000</v>
      </c>
      <c r="H21" s="11">
        <v>0</v>
      </c>
      <c r="I21" s="11">
        <v>0</v>
      </c>
      <c r="J21" s="11">
        <v>0</v>
      </c>
      <c r="K21" s="11">
        <v>0</v>
      </c>
      <c r="L21" s="16">
        <v>0</v>
      </c>
    </row>
    <row r="22" spans="2:16384" x14ac:dyDescent="0.25">
      <c r="B22" s="15" t="s">
        <v>200</v>
      </c>
      <c r="C22" s="11">
        <v>141559279000</v>
      </c>
      <c r="D22" s="11">
        <v>168641475000</v>
      </c>
      <c r="E22" s="11">
        <v>207661963000</v>
      </c>
      <c r="F22" s="11">
        <v>228771647000</v>
      </c>
      <c r="G22" s="12">
        <v>232634592000</v>
      </c>
      <c r="H22" s="11">
        <f>H18-H19</f>
        <v>219401907782.64047</v>
      </c>
      <c r="I22" s="11">
        <f>I18-I19</f>
        <v>251587504706.5885</v>
      </c>
      <c r="J22" s="11">
        <f>J18-J19</f>
        <v>281426711710.51685</v>
      </c>
      <c r="K22" s="11">
        <f>K18-K19</f>
        <v>342445937725.8938</v>
      </c>
      <c r="L22" s="16">
        <f>L18-L19</f>
        <v>412440803847.92621</v>
      </c>
    </row>
    <row r="23" spans="2:16384" x14ac:dyDescent="0.25">
      <c r="B23" s="15" t="s">
        <v>201</v>
      </c>
      <c r="C23" s="11">
        <v>0</v>
      </c>
      <c r="D23" s="11">
        <v>0</v>
      </c>
      <c r="E23" s="11">
        <v>0</v>
      </c>
      <c r="F23" s="11">
        <v>0</v>
      </c>
      <c r="G23" s="12">
        <v>0</v>
      </c>
      <c r="H23" s="11">
        <f>H22*H24</f>
        <v>0</v>
      </c>
      <c r="I23" s="11">
        <f>I22*I24</f>
        <v>0</v>
      </c>
      <c r="J23" s="11">
        <f>J22*J24</f>
        <v>0</v>
      </c>
      <c r="K23" s="11">
        <f>K22*K24</f>
        <v>0</v>
      </c>
      <c r="L23" s="16">
        <f>L22*L24</f>
        <v>0</v>
      </c>
    </row>
    <row r="24" spans="2:16384" x14ac:dyDescent="0.25">
      <c r="B24" s="15" t="s">
        <v>4</v>
      </c>
      <c r="C24" s="11"/>
      <c r="D24" s="11"/>
      <c r="E24" s="17">
        <v>0</v>
      </c>
      <c r="F24" s="17">
        <v>0</v>
      </c>
      <c r="G24" s="18">
        <v>0</v>
      </c>
      <c r="H24" s="22">
        <f>G24</f>
        <v>0</v>
      </c>
      <c r="I24" s="22">
        <f>H24</f>
        <v>0</v>
      </c>
      <c r="J24" s="22">
        <f>I24</f>
        <v>0</v>
      </c>
      <c r="K24" s="22">
        <f>J24</f>
        <v>0</v>
      </c>
      <c r="L24" s="23">
        <f>K24</f>
        <v>0</v>
      </c>
    </row>
    <row r="25" spans="2:16384" x14ac:dyDescent="0.25">
      <c r="B25" s="15" t="s">
        <v>202</v>
      </c>
      <c r="C25" s="11">
        <v>141559279000</v>
      </c>
      <c r="D25" s="11">
        <v>168641475000</v>
      </c>
      <c r="E25" s="11">
        <v>207661963000</v>
      </c>
      <c r="F25" s="11">
        <v>228771647000</v>
      </c>
      <c r="G25" s="12">
        <v>232634592000</v>
      </c>
      <c r="H25" s="11">
        <f>H22-H23</f>
        <v>219401907782.64047</v>
      </c>
      <c r="I25" s="11">
        <f>I22-I23</f>
        <v>251587504706.5885</v>
      </c>
      <c r="J25" s="11">
        <f>J22-J23</f>
        <v>281426711710.51685</v>
      </c>
      <c r="K25" s="11">
        <f>K22-K23</f>
        <v>342445937725.8938</v>
      </c>
      <c r="L25" s="16">
        <f>L22-L23</f>
        <v>412440803847.92621</v>
      </c>
    </row>
    <row r="26" spans="2:16384" x14ac:dyDescent="0.25">
      <c r="B26" s="15"/>
      <c r="C26" s="11"/>
      <c r="D26" s="11"/>
      <c r="E26" s="11"/>
      <c r="F26" s="11"/>
      <c r="G26" s="12"/>
      <c r="H26" s="24">
        <f>IFERROR(LN(H25/G25),0)</f>
        <v>-5.8563704600151076E-2</v>
      </c>
      <c r="I26" s="24">
        <f>IFERROR(LN(I25/H25),0)</f>
        <v>0.13688561700720253</v>
      </c>
      <c r="J26" s="24">
        <f>IFERROR(LN(J25/I25),0)</f>
        <v>0.11208120425499077</v>
      </c>
      <c r="K26" s="24">
        <f>IFERROR(LN(K25/J25),0)</f>
        <v>0.19624173466782793</v>
      </c>
      <c r="L26" s="25">
        <f>IFERROR(LN(L25/K25),0)</f>
        <v>0.18597889046608485</v>
      </c>
    </row>
    <row r="27" spans="2:16384" x14ac:dyDescent="0.25">
      <c r="B27" s="26" t="s">
        <v>203</v>
      </c>
      <c r="C27" s="27">
        <v>4374000</v>
      </c>
      <c r="D27" s="27">
        <v>4856000</v>
      </c>
      <c r="E27" s="27">
        <v>5980000</v>
      </c>
      <c r="F27" s="27">
        <v>6588000</v>
      </c>
      <c r="G27" s="28">
        <v>6699000</v>
      </c>
      <c r="H27" s="27">
        <f>H25/('Vốn CSH'!G4/10^4)</f>
        <v>6317.821003711053</v>
      </c>
      <c r="I27" s="27">
        <f>I25/('Vốn CSH'!H4/10^4)</f>
        <v>7244.6262549422627</v>
      </c>
      <c r="J27" s="27">
        <f>J25/('Vốn CSH'!I4/10^4)</f>
        <v>8103.8656783763754</v>
      </c>
      <c r="K27" s="27">
        <f>K25/('Vốn CSH'!J4/10^4)</f>
        <v>9860.9540813270942</v>
      </c>
      <c r="L27" s="29">
        <f>L25/('Vốn CSH'!K4/10^4)</f>
        <v>11876.501894046289</v>
      </c>
    </row>
    <row r="28" spans="2:16384" x14ac:dyDescent="0.25">
      <c r="L28">
        <v>0</v>
      </c>
    </row>
    <row r="30" spans="2:16384" x14ac:dyDescent="0.25">
      <c r="B30" s="6" t="s">
        <v>5</v>
      </c>
      <c r="C30" s="31">
        <v>2015</v>
      </c>
      <c r="D30" s="31">
        <v>2016</v>
      </c>
      <c r="E30" s="31">
        <v>2017</v>
      </c>
      <c r="F30" s="31">
        <v>2018</v>
      </c>
      <c r="G30" s="8">
        <v>2019</v>
      </c>
      <c r="H30" s="32">
        <f>G30+1</f>
        <v>2020</v>
      </c>
      <c r="I30" s="32">
        <f>H30+1</f>
        <v>2021</v>
      </c>
      <c r="J30" s="32">
        <f>I30+1</f>
        <v>2022</v>
      </c>
      <c r="K30" s="32">
        <f>J30+1</f>
        <v>2023</v>
      </c>
      <c r="L30" s="33">
        <f>K30+1</f>
        <v>2024</v>
      </c>
    </row>
    <row r="31" spans="2:16384" x14ac:dyDescent="0.25">
      <c r="B31" s="15"/>
      <c r="C31" s="34"/>
      <c r="D31" s="34"/>
      <c r="E31" s="34"/>
      <c r="F31" s="34"/>
      <c r="G31" s="12"/>
      <c r="H31" s="34"/>
      <c r="I31" s="34"/>
      <c r="J31" s="34"/>
      <c r="K31" s="34"/>
      <c r="L31" s="35"/>
    </row>
    <row r="32" spans="2:16384" x14ac:dyDescent="0.25">
      <c r="B32" s="15" t="s">
        <v>204</v>
      </c>
      <c r="C32" s="34"/>
      <c r="D32" s="34"/>
      <c r="E32" s="34"/>
      <c r="F32" s="34"/>
      <c r="G32" s="12"/>
      <c r="H32" s="36">
        <f>H41+H50+H53-G41-G50-G53</f>
        <v>-148490142468.21509</v>
      </c>
      <c r="I32" s="36">
        <f>H32-H99</f>
        <v>-148490142468.21509</v>
      </c>
      <c r="J32" s="34"/>
      <c r="K32" s="34"/>
      <c r="L32" s="35">
        <v>0</v>
      </c>
    </row>
    <row r="33" spans="2:12" x14ac:dyDescent="0.25">
      <c r="B33" s="15" t="s">
        <v>205</v>
      </c>
      <c r="C33" s="11">
        <v>719994108000</v>
      </c>
      <c r="D33" s="11">
        <v>842929797000</v>
      </c>
      <c r="E33" s="11">
        <v>1079210647000</v>
      </c>
      <c r="F33" s="11">
        <v>1231691824000</v>
      </c>
      <c r="G33" s="12">
        <v>1298541565000</v>
      </c>
      <c r="H33" s="11">
        <f>H34+H37+H41+H50+H53</f>
        <v>1449275258186.2285</v>
      </c>
      <c r="I33" s="11">
        <f>I34+I37+I41+I50+I53</f>
        <v>1717027052439.627</v>
      </c>
      <c r="J33" s="11">
        <f>J34+J37+J41+J50+J53</f>
        <v>1921231429932.9607</v>
      </c>
      <c r="K33" s="11">
        <f>K34+K37+K41+K50+K53</f>
        <v>2286003646327.9512</v>
      </c>
      <c r="L33" s="16">
        <f>L34+L37+L41+L50+L53</f>
        <v>2622326490771.1772</v>
      </c>
    </row>
    <row r="34" spans="2:12" x14ac:dyDescent="0.25">
      <c r="B34" s="15" t="s">
        <v>206</v>
      </c>
      <c r="C34" s="11">
        <v>135164016000</v>
      </c>
      <c r="D34" s="11">
        <v>92319494000</v>
      </c>
      <c r="E34" s="11">
        <v>158731379000</v>
      </c>
      <c r="F34" s="11">
        <v>79508403000</v>
      </c>
      <c r="G34" s="12">
        <v>98367152000</v>
      </c>
      <c r="H34" s="11">
        <f>H323</f>
        <v>397590987654.44354</v>
      </c>
      <c r="I34" s="11">
        <f>I323</f>
        <v>350342488824.47223</v>
      </c>
      <c r="J34" s="11">
        <f>J323</f>
        <v>592953742768.48938</v>
      </c>
      <c r="K34" s="11">
        <f>K323</f>
        <v>483812887724.42694</v>
      </c>
      <c r="L34" s="11">
        <f>L323</f>
        <v>640892260090.64063</v>
      </c>
    </row>
    <row r="35" spans="2:12" x14ac:dyDescent="0.25">
      <c r="B35" s="15" t="s">
        <v>207</v>
      </c>
      <c r="C35" s="11">
        <v>55128460000</v>
      </c>
      <c r="D35" s="11">
        <v>72319494000</v>
      </c>
      <c r="E35" s="11">
        <v>88731379000</v>
      </c>
      <c r="F35" s="11">
        <v>79508403000</v>
      </c>
      <c r="G35" s="12">
        <v>98367152000</v>
      </c>
      <c r="H35" s="11"/>
      <c r="I35" s="11"/>
      <c r="J35" s="11"/>
      <c r="K35" s="11"/>
      <c r="L35" s="16">
        <v>0</v>
      </c>
    </row>
    <row r="36" spans="2:12" x14ac:dyDescent="0.25">
      <c r="B36" s="15" t="s">
        <v>208</v>
      </c>
      <c r="C36" s="11">
        <v>80035556000</v>
      </c>
      <c r="D36" s="11">
        <v>20000000000</v>
      </c>
      <c r="E36" s="11">
        <v>70000000000</v>
      </c>
      <c r="F36" s="11">
        <v>0</v>
      </c>
      <c r="G36" s="12">
        <v>0</v>
      </c>
      <c r="H36" s="11"/>
      <c r="I36" s="11"/>
      <c r="J36" s="11"/>
      <c r="K36" s="11"/>
      <c r="L36" s="16">
        <v>0</v>
      </c>
    </row>
    <row r="37" spans="2:12" x14ac:dyDescent="0.25">
      <c r="B37" s="15" t="s">
        <v>209</v>
      </c>
      <c r="C37" s="11">
        <v>0</v>
      </c>
      <c r="D37" s="11">
        <v>115000000000</v>
      </c>
      <c r="E37" s="11">
        <v>270000000000</v>
      </c>
      <c r="F37" s="11">
        <v>290000000000</v>
      </c>
      <c r="G37" s="12">
        <v>260000000000</v>
      </c>
      <c r="H37" s="11">
        <f t="shared" ref="H37:L40" si="1">G37</f>
        <v>260000000000</v>
      </c>
      <c r="I37" s="11">
        <f t="shared" si="1"/>
        <v>260000000000</v>
      </c>
      <c r="J37" s="11">
        <f t="shared" si="1"/>
        <v>260000000000</v>
      </c>
      <c r="K37" s="11">
        <f t="shared" si="1"/>
        <v>260000000000</v>
      </c>
      <c r="L37" s="16">
        <f t="shared" si="1"/>
        <v>260000000000</v>
      </c>
    </row>
    <row r="38" spans="2:12" x14ac:dyDescent="0.25">
      <c r="B38" s="15" t="s">
        <v>210</v>
      </c>
      <c r="C38" s="11">
        <v>0</v>
      </c>
      <c r="D38" s="11">
        <v>0</v>
      </c>
      <c r="E38" s="11">
        <v>0</v>
      </c>
      <c r="F38" s="11">
        <v>0</v>
      </c>
      <c r="G38" s="12">
        <v>0</v>
      </c>
      <c r="H38" s="11">
        <f t="shared" si="1"/>
        <v>0</v>
      </c>
      <c r="I38" s="11">
        <f t="shared" si="1"/>
        <v>0</v>
      </c>
      <c r="J38" s="11">
        <f t="shared" si="1"/>
        <v>0</v>
      </c>
      <c r="K38" s="11">
        <f t="shared" si="1"/>
        <v>0</v>
      </c>
      <c r="L38" s="16">
        <f t="shared" si="1"/>
        <v>0</v>
      </c>
    </row>
    <row r="39" spans="2:12" x14ac:dyDescent="0.25">
      <c r="B39" s="15" t="s">
        <v>211</v>
      </c>
      <c r="C39" s="11">
        <v>0</v>
      </c>
      <c r="D39" s="11">
        <v>0</v>
      </c>
      <c r="E39" s="11">
        <v>0</v>
      </c>
      <c r="F39" s="11">
        <v>0</v>
      </c>
      <c r="G39" s="12">
        <v>0</v>
      </c>
      <c r="H39" s="11">
        <f t="shared" si="1"/>
        <v>0</v>
      </c>
      <c r="I39" s="11">
        <f t="shared" si="1"/>
        <v>0</v>
      </c>
      <c r="J39" s="11">
        <f t="shared" si="1"/>
        <v>0</v>
      </c>
      <c r="K39" s="11">
        <f t="shared" si="1"/>
        <v>0</v>
      </c>
      <c r="L39" s="16">
        <f t="shared" si="1"/>
        <v>0</v>
      </c>
    </row>
    <row r="40" spans="2:12" x14ac:dyDescent="0.25">
      <c r="B40" s="15" t="s">
        <v>212</v>
      </c>
      <c r="C40" s="11">
        <v>0</v>
      </c>
      <c r="D40" s="11">
        <v>115000000000</v>
      </c>
      <c r="E40" s="11">
        <v>270000000000</v>
      </c>
      <c r="F40" s="11">
        <v>290000000000</v>
      </c>
      <c r="G40" s="12">
        <v>260000000000</v>
      </c>
      <c r="H40" s="11">
        <f t="shared" si="1"/>
        <v>260000000000</v>
      </c>
      <c r="I40" s="11">
        <f t="shared" si="1"/>
        <v>260000000000</v>
      </c>
      <c r="J40" s="11">
        <f t="shared" si="1"/>
        <v>260000000000</v>
      </c>
      <c r="K40" s="11">
        <f t="shared" si="1"/>
        <v>260000000000</v>
      </c>
      <c r="L40" s="16">
        <f t="shared" si="1"/>
        <v>260000000000</v>
      </c>
    </row>
    <row r="41" spans="2:12" x14ac:dyDescent="0.25">
      <c r="B41" s="15" t="s">
        <v>213</v>
      </c>
      <c r="C41" s="11">
        <v>305862812000</v>
      </c>
      <c r="D41" s="11">
        <v>311307010000</v>
      </c>
      <c r="E41" s="11">
        <v>400550889000</v>
      </c>
      <c r="F41" s="11">
        <v>585386459000</v>
      </c>
      <c r="G41" s="12">
        <v>717170550000</v>
      </c>
      <c r="H41" s="11">
        <f>SUM(H42:H49)</f>
        <v>548492092569.58453</v>
      </c>
      <c r="I41" s="11">
        <f>SUM(I42:I49)</f>
        <v>837661348282.62</v>
      </c>
      <c r="J41" s="11">
        <f>SUM(J42:J49)</f>
        <v>750451399757.06042</v>
      </c>
      <c r="K41" s="11">
        <f>SUM(K42:K49)</f>
        <v>1155654585260.4268</v>
      </c>
      <c r="L41" s="16">
        <f>SUM(L42:L49)</f>
        <v>1227367117749.7964</v>
      </c>
    </row>
    <row r="42" spans="2:12" x14ac:dyDescent="0.25">
      <c r="B42" s="15" t="s">
        <v>214</v>
      </c>
      <c r="C42" s="11">
        <v>289981415000</v>
      </c>
      <c r="D42" s="11">
        <v>300890087000</v>
      </c>
      <c r="E42" s="11">
        <v>380536847000</v>
      </c>
      <c r="F42" s="11">
        <v>555099634000</v>
      </c>
      <c r="G42" s="12">
        <v>699943710000</v>
      </c>
      <c r="H42" s="11">
        <f>'Vốn lưu động'!G4</f>
        <v>523713219343.90649</v>
      </c>
      <c r="I42" s="11">
        <f>'Vốn lưu động'!H4</f>
        <v>812887575076.93774</v>
      </c>
      <c r="J42" s="11">
        <f>'Vốn lưu động'!I4</f>
        <v>719486521117.68164</v>
      </c>
      <c r="K42" s="11">
        <f>'Vốn lưu động'!J4</f>
        <v>1120856899159.6792</v>
      </c>
      <c r="L42" s="16">
        <f>'Vốn lưu động'!K4</f>
        <v>1181141606273.0303</v>
      </c>
    </row>
    <row r="43" spans="2:12" x14ac:dyDescent="0.25">
      <c r="B43" s="15" t="s">
        <v>215</v>
      </c>
      <c r="C43" s="11">
        <v>1577897000</v>
      </c>
      <c r="D43" s="11">
        <v>1337079000</v>
      </c>
      <c r="E43" s="11">
        <v>3593154000</v>
      </c>
      <c r="F43" s="11">
        <v>9521850000</v>
      </c>
      <c r="G43" s="12">
        <v>7128949000</v>
      </c>
      <c r="H43" s="11">
        <f>'Vốn lưu động'!G7</f>
        <v>8475796386.487772</v>
      </c>
      <c r="I43" s="11">
        <f>'Vốn lưu động'!H7</f>
        <v>8569271213.8711948</v>
      </c>
      <c r="J43" s="11">
        <f>'Vốn lưu động'!I7</f>
        <v>10972405079.97983</v>
      </c>
      <c r="K43" s="11">
        <f>'Vốn lưu động'!J7</f>
        <v>12496665219.425238</v>
      </c>
      <c r="L43" s="16">
        <f>'Vốn lưu động'!K7</f>
        <v>16859684338.954119</v>
      </c>
    </row>
    <row r="44" spans="2:12" x14ac:dyDescent="0.25">
      <c r="B44" s="15" t="s">
        <v>216</v>
      </c>
      <c r="C44" s="11">
        <v>0</v>
      </c>
      <c r="D44" s="11">
        <v>0</v>
      </c>
      <c r="E44" s="11">
        <v>0</v>
      </c>
      <c r="F44" s="11">
        <v>0</v>
      </c>
      <c r="G44" s="12">
        <v>0</v>
      </c>
      <c r="H44" s="11">
        <f>'Vốn lưu động'!G10</f>
        <v>0</v>
      </c>
      <c r="I44" s="11">
        <f>'Vốn lưu động'!H10</f>
        <v>0</v>
      </c>
      <c r="J44" s="11">
        <f>'Vốn lưu động'!I10</f>
        <v>0</v>
      </c>
      <c r="K44" s="11">
        <f>'Vốn lưu động'!J10</f>
        <v>0</v>
      </c>
      <c r="L44" s="16">
        <f>'Vốn lưu động'!K10</f>
        <v>0</v>
      </c>
    </row>
    <row r="45" spans="2:12" x14ac:dyDescent="0.25">
      <c r="B45" s="15" t="s">
        <v>217</v>
      </c>
      <c r="C45" s="11">
        <v>0</v>
      </c>
      <c r="D45" s="11">
        <v>0</v>
      </c>
      <c r="E45" s="11">
        <v>0</v>
      </c>
      <c r="F45" s="11">
        <v>0</v>
      </c>
      <c r="G45" s="12">
        <v>0</v>
      </c>
      <c r="H45" s="11">
        <f>'Vốn lưu động'!G13</f>
        <v>0</v>
      </c>
      <c r="I45" s="11">
        <f>'Vốn lưu động'!H13</f>
        <v>0</v>
      </c>
      <c r="J45" s="11">
        <f>'Vốn lưu động'!I13</f>
        <v>0</v>
      </c>
      <c r="K45" s="11">
        <f>'Vốn lưu động'!J13</f>
        <v>0</v>
      </c>
      <c r="L45" s="16">
        <f>'Vốn lưu động'!K13</f>
        <v>0</v>
      </c>
    </row>
    <row r="46" spans="2:12" x14ac:dyDescent="0.25">
      <c r="B46" s="15" t="s">
        <v>218</v>
      </c>
      <c r="C46" s="11">
        <v>0</v>
      </c>
      <c r="D46" s="11">
        <v>0</v>
      </c>
      <c r="E46" s="11">
        <v>0</v>
      </c>
      <c r="F46" s="11">
        <v>0</v>
      </c>
      <c r="G46" s="12">
        <v>0</v>
      </c>
      <c r="H46" s="11">
        <f>'Vốn lưu động'!G16</f>
        <v>0</v>
      </c>
      <c r="I46" s="11">
        <f>'Vốn lưu động'!H16</f>
        <v>0</v>
      </c>
      <c r="J46" s="11">
        <f>'Vốn lưu động'!I16</f>
        <v>0</v>
      </c>
      <c r="K46" s="11">
        <f>'Vốn lưu động'!J16</f>
        <v>0</v>
      </c>
      <c r="L46" s="16">
        <f>'Vốn lưu động'!K16</f>
        <v>0</v>
      </c>
    </row>
    <row r="47" spans="2:12" x14ac:dyDescent="0.25">
      <c r="B47" s="15" t="s">
        <v>219</v>
      </c>
      <c r="C47" s="11">
        <v>19179287000</v>
      </c>
      <c r="D47" s="11">
        <v>14607612000</v>
      </c>
      <c r="E47" s="11">
        <v>19092372000</v>
      </c>
      <c r="F47" s="11">
        <v>24932746000</v>
      </c>
      <c r="G47" s="12">
        <v>14154382000</v>
      </c>
      <c r="H47" s="11">
        <f>'Vốn lưu động'!G19</f>
        <v>19785815124.350922</v>
      </c>
      <c r="I47" s="11">
        <f>'Vốn lưu động'!H19</f>
        <v>21612051204.295406</v>
      </c>
      <c r="J47" s="11">
        <f>'Vốn lưu động'!I19</f>
        <v>24777590713.197277</v>
      </c>
      <c r="K47" s="11">
        <f>'Vốn lưu động'!J19</f>
        <v>29757274122.941525</v>
      </c>
      <c r="L47" s="16">
        <f>'Vốn lưu động'!K19</f>
        <v>37221966184.136932</v>
      </c>
    </row>
    <row r="48" spans="2:12" x14ac:dyDescent="0.25">
      <c r="B48" s="15" t="s">
        <v>220</v>
      </c>
      <c r="C48" s="11">
        <v>-4875787000</v>
      </c>
      <c r="D48" s="11">
        <v>-5527768000</v>
      </c>
      <c r="E48" s="11">
        <v>-2671484000</v>
      </c>
      <c r="F48" s="11">
        <v>-4167772000</v>
      </c>
      <c r="G48" s="12">
        <v>-4064415000</v>
      </c>
      <c r="H48" s="11">
        <f>'Vốn lưu động'!G22</f>
        <v>-3486601202.5469685</v>
      </c>
      <c r="I48" s="11">
        <f>'Vốn lưu động'!H22</f>
        <v>-5411768678.188736</v>
      </c>
      <c r="J48" s="11">
        <f>'Vốn lưu động'!I22</f>
        <v>-4789954649.0117283</v>
      </c>
      <c r="K48" s="11">
        <f>'Vốn lưu động'!J22</f>
        <v>-7462062953.8223515</v>
      </c>
      <c r="L48" s="16">
        <f>'Vốn lưu động'!K22</f>
        <v>-7863406140.4234467</v>
      </c>
    </row>
    <row r="49" spans="1:12" x14ac:dyDescent="0.25">
      <c r="B49" s="15" t="s">
        <v>221</v>
      </c>
      <c r="C49" s="11">
        <v>0</v>
      </c>
      <c r="D49" s="11">
        <v>0</v>
      </c>
      <c r="E49" s="11">
        <v>0</v>
      </c>
      <c r="F49" s="11">
        <v>0</v>
      </c>
      <c r="G49" s="12">
        <v>7924000</v>
      </c>
      <c r="H49" s="11">
        <f>'Vốn lưu động'!G25</f>
        <v>3862917.3862704122</v>
      </c>
      <c r="I49" s="11">
        <f>'Vốn lưu động'!H25</f>
        <v>4219465.7043616697</v>
      </c>
      <c r="J49" s="11">
        <f>'Vốn lưu động'!I25</f>
        <v>4837495.213331121</v>
      </c>
      <c r="K49" s="11">
        <f>'Vốn lưu động'!J25</f>
        <v>5809712.203165873</v>
      </c>
      <c r="L49" s="16">
        <f>'Vốn lưu động'!K25</f>
        <v>7267094.0984842964</v>
      </c>
    </row>
    <row r="50" spans="1:12" x14ac:dyDescent="0.25">
      <c r="B50" s="15" t="s">
        <v>222</v>
      </c>
      <c r="C50" s="11">
        <v>277343788000</v>
      </c>
      <c r="D50" s="11">
        <v>320318925000</v>
      </c>
      <c r="E50" s="11">
        <v>244889043000</v>
      </c>
      <c r="F50" s="11">
        <v>266490182000</v>
      </c>
      <c r="G50" s="12">
        <v>219139200000</v>
      </c>
      <c r="H50" s="11">
        <f>H51+H52</f>
        <v>235981473687.03491</v>
      </c>
      <c r="I50" s="11">
        <f>I51+I52</f>
        <v>261146961105.22626</v>
      </c>
      <c r="J50" s="11">
        <f>J51+J52</f>
        <v>308796390071.31024</v>
      </c>
      <c r="K50" s="11">
        <f>K51+K52</f>
        <v>375691489796.47491</v>
      </c>
      <c r="L50" s="16">
        <f>L51+L52</f>
        <v>480502011416.99469</v>
      </c>
    </row>
    <row r="51" spans="1:12" x14ac:dyDescent="0.25">
      <c r="B51" s="15" t="s">
        <v>223</v>
      </c>
      <c r="C51" s="11">
        <v>277921069000</v>
      </c>
      <c r="D51" s="11">
        <v>320318925000</v>
      </c>
      <c r="E51" s="11">
        <v>244889043000</v>
      </c>
      <c r="F51" s="11">
        <v>266490182000</v>
      </c>
      <c r="G51" s="12">
        <v>219139200000</v>
      </c>
      <c r="H51" s="11">
        <f>'Vốn lưu động'!G29</f>
        <v>235981473687.03491</v>
      </c>
      <c r="I51" s="11">
        <f>'Vốn lưu động'!H29</f>
        <v>261146961105.22626</v>
      </c>
      <c r="J51" s="11">
        <f>'Vốn lưu động'!I29</f>
        <v>308796390071.31024</v>
      </c>
      <c r="K51" s="11">
        <f>'Vốn lưu động'!J29</f>
        <v>375691489796.47491</v>
      </c>
      <c r="L51" s="16">
        <f>'Vốn lưu động'!K29</f>
        <v>480502011416.99469</v>
      </c>
    </row>
    <row r="52" spans="1:12" x14ac:dyDescent="0.25">
      <c r="B52" s="15" t="s">
        <v>224</v>
      </c>
      <c r="C52" s="11">
        <v>-577281000</v>
      </c>
      <c r="D52" s="11">
        <v>0</v>
      </c>
      <c r="E52" s="11">
        <v>0</v>
      </c>
      <c r="F52" s="11">
        <v>0</v>
      </c>
      <c r="G52" s="12">
        <v>0</v>
      </c>
      <c r="H52" s="11">
        <f>'Vốn lưu động'!G32</f>
        <v>0</v>
      </c>
      <c r="I52" s="11">
        <f>'Vốn lưu động'!H32</f>
        <v>0</v>
      </c>
      <c r="J52" s="11">
        <f>'Vốn lưu động'!I32</f>
        <v>0</v>
      </c>
      <c r="K52" s="11">
        <f>'Vốn lưu động'!J32</f>
        <v>0</v>
      </c>
      <c r="L52" s="11">
        <f>'Vốn lưu động'!K32</f>
        <v>0</v>
      </c>
    </row>
    <row r="53" spans="1:12" x14ac:dyDescent="0.25">
      <c r="B53" s="15" t="s">
        <v>225</v>
      </c>
      <c r="C53" s="11">
        <v>1623493000</v>
      </c>
      <c r="D53" s="11">
        <v>3984368000</v>
      </c>
      <c r="E53" s="11">
        <v>5039336000</v>
      </c>
      <c r="F53" s="11">
        <v>10306780000</v>
      </c>
      <c r="G53" s="12">
        <v>3864663000</v>
      </c>
      <c r="H53" s="11">
        <f>SUM(H54:H58)</f>
        <v>7210704275.165534</v>
      </c>
      <c r="I53" s="11">
        <f>SUM(I54:I58)</f>
        <v>7876254227.3082952</v>
      </c>
      <c r="J53" s="11">
        <f>SUM(J54:J58)</f>
        <v>9029897336.1005058</v>
      </c>
      <c r="K53" s="11">
        <f>SUM(K54:K58)</f>
        <v>10844683546.622707</v>
      </c>
      <c r="L53" s="16">
        <f>SUM(L54:L58)</f>
        <v>13565101513.745594</v>
      </c>
    </row>
    <row r="54" spans="1:12" x14ac:dyDescent="0.25">
      <c r="B54" s="15" t="s">
        <v>226</v>
      </c>
      <c r="C54" s="11">
        <v>1622172000</v>
      </c>
      <c r="D54" s="11">
        <v>3984368000</v>
      </c>
      <c r="E54" s="11">
        <v>4797474000</v>
      </c>
      <c r="F54" s="11">
        <v>8591455000</v>
      </c>
      <c r="G54" s="12">
        <v>3840044000</v>
      </c>
      <c r="H54" s="11">
        <f>'Vốn lưu động'!G36</f>
        <v>6312196749.0781603</v>
      </c>
      <c r="I54" s="11">
        <f>'Vốn lưu động'!H36</f>
        <v>6894814213.884428</v>
      </c>
      <c r="J54" s="11">
        <f>'Vốn lưu động'!I36</f>
        <v>7904704788.0957022</v>
      </c>
      <c r="K54" s="11">
        <f>'Vốn lưu động'!J36</f>
        <v>9493355103.1257343</v>
      </c>
      <c r="L54" s="16">
        <f>'Vốn lưu động'!K36</f>
        <v>11874788704.188606</v>
      </c>
    </row>
    <row r="55" spans="1:12" x14ac:dyDescent="0.25">
      <c r="B55" s="15" t="s">
        <v>227</v>
      </c>
      <c r="C55" s="11">
        <v>0</v>
      </c>
      <c r="D55" s="11">
        <v>0</v>
      </c>
      <c r="E55" s="11">
        <v>0</v>
      </c>
      <c r="F55" s="11">
        <v>0</v>
      </c>
      <c r="G55" s="12">
        <v>0</v>
      </c>
      <c r="H55" s="11">
        <f>'Vốn lưu động'!G39</f>
        <v>0</v>
      </c>
      <c r="I55" s="11">
        <f>'Vốn lưu động'!H39</f>
        <v>0</v>
      </c>
      <c r="J55" s="11">
        <f>'Vốn lưu động'!I39</f>
        <v>0</v>
      </c>
      <c r="K55" s="11">
        <f>'Vốn lưu động'!J39</f>
        <v>0</v>
      </c>
      <c r="L55" s="16">
        <f>'Vốn lưu động'!K39</f>
        <v>0</v>
      </c>
    </row>
    <row r="56" spans="1:12" x14ac:dyDescent="0.25">
      <c r="B56" s="15" t="s">
        <v>228</v>
      </c>
      <c r="C56" s="11">
        <v>1321000</v>
      </c>
      <c r="D56" s="11">
        <v>0</v>
      </c>
      <c r="E56" s="11">
        <v>241862000</v>
      </c>
      <c r="F56" s="11">
        <v>1715326000</v>
      </c>
      <c r="G56" s="12">
        <v>24619000</v>
      </c>
      <c r="H56" s="11">
        <f>'Vốn lưu động'!G42</f>
        <v>898507526.08737385</v>
      </c>
      <c r="I56" s="11">
        <f>'Vốn lưu động'!H42</f>
        <v>981440013.42386687</v>
      </c>
      <c r="J56" s="11">
        <f>'Vốn lưu động'!I42</f>
        <v>1125192548.0048027</v>
      </c>
      <c r="K56" s="11">
        <f>'Vốn lưu động'!J42</f>
        <v>1351328443.496974</v>
      </c>
      <c r="L56" s="16">
        <f>'Vốn lưu động'!K42</f>
        <v>1690312809.5569887</v>
      </c>
    </row>
    <row r="57" spans="1:12" x14ac:dyDescent="0.25">
      <c r="B57" s="15" t="s">
        <v>229</v>
      </c>
      <c r="C57" s="11">
        <v>0</v>
      </c>
      <c r="D57" s="11">
        <v>0</v>
      </c>
      <c r="E57" s="11">
        <v>0</v>
      </c>
      <c r="F57" s="11">
        <v>0</v>
      </c>
      <c r="G57" s="12">
        <v>0</v>
      </c>
      <c r="H57" s="11">
        <f>'Vốn lưu động'!G45</f>
        <v>0</v>
      </c>
      <c r="I57" s="11">
        <f>'Vốn lưu động'!H45</f>
        <v>0</v>
      </c>
      <c r="J57" s="11">
        <f>'Vốn lưu động'!I45</f>
        <v>0</v>
      </c>
      <c r="K57" s="11">
        <f>'Vốn lưu động'!J45</f>
        <v>0</v>
      </c>
      <c r="L57" s="16">
        <f>'Vốn lưu động'!K45</f>
        <v>0</v>
      </c>
    </row>
    <row r="58" spans="1:12" x14ac:dyDescent="0.25">
      <c r="B58" s="15" t="s">
        <v>230</v>
      </c>
      <c r="C58" s="11">
        <v>0</v>
      </c>
      <c r="D58" s="11">
        <v>0</v>
      </c>
      <c r="E58" s="11">
        <v>0</v>
      </c>
      <c r="F58" s="11">
        <v>0</v>
      </c>
      <c r="G58" s="12">
        <v>0</v>
      </c>
      <c r="H58" s="11">
        <f>'Vốn lưu động'!G48</f>
        <v>0</v>
      </c>
      <c r="I58" s="11">
        <f>'Vốn lưu động'!H48</f>
        <v>0</v>
      </c>
      <c r="J58" s="11">
        <f>'Vốn lưu động'!I48</f>
        <v>0</v>
      </c>
      <c r="K58" s="11">
        <f>'Vốn lưu động'!J48</f>
        <v>0</v>
      </c>
      <c r="L58" s="16">
        <f>'Vốn lưu động'!K48</f>
        <v>0</v>
      </c>
    </row>
    <row r="59" spans="1:12" x14ac:dyDescent="0.25">
      <c r="B59" s="15"/>
      <c r="C59" s="11"/>
      <c r="D59" s="11"/>
      <c r="E59" s="11"/>
      <c r="F59" s="11"/>
      <c r="G59" s="12"/>
      <c r="H59" s="11"/>
      <c r="I59" s="11"/>
      <c r="J59" s="11"/>
      <c r="K59" s="11"/>
      <c r="L59" s="16"/>
    </row>
    <row r="60" spans="1:12" x14ac:dyDescent="0.25">
      <c r="A60" s="37"/>
      <c r="B60" s="15" t="s">
        <v>231</v>
      </c>
      <c r="C60" s="11">
        <v>268029058000</v>
      </c>
      <c r="D60" s="11">
        <v>241064347000</v>
      </c>
      <c r="E60" s="11">
        <v>226262692000</v>
      </c>
      <c r="F60" s="11">
        <v>233397032000</v>
      </c>
      <c r="G60" s="12">
        <v>234510949000</v>
      </c>
      <c r="H60" s="11">
        <f>H61+H69+H79+H82+H85+H92+H97</f>
        <v>210428737685.96683</v>
      </c>
      <c r="I60" s="11">
        <f>I61+I69+I79+I82+I85+I92+I97</f>
        <v>175328221421.15366</v>
      </c>
      <c r="J60" s="11">
        <f>J61+J69+J79+J82+J85+J92+J97</f>
        <v>155449719392.54077</v>
      </c>
      <c r="K60" s="11">
        <f>K61+K69+K79+K82+K85+K92+K97</f>
        <v>129190588283.4158</v>
      </c>
      <c r="L60" s="16">
        <f>L61+L69+L79+L82+L85+L92+L97</f>
        <v>126389336761.25882</v>
      </c>
    </row>
    <row r="61" spans="1:12" x14ac:dyDescent="0.25">
      <c r="B61" s="15" t="s">
        <v>232</v>
      </c>
      <c r="C61" s="11">
        <v>0</v>
      </c>
      <c r="D61" s="11">
        <v>0</v>
      </c>
      <c r="E61" s="11">
        <v>0</v>
      </c>
      <c r="F61" s="11">
        <v>0</v>
      </c>
      <c r="G61" s="12">
        <v>0</v>
      </c>
      <c r="H61" s="11">
        <f t="shared" ref="H61:L68" si="2">G61</f>
        <v>0</v>
      </c>
      <c r="I61" s="11">
        <f t="shared" si="2"/>
        <v>0</v>
      </c>
      <c r="J61" s="11">
        <f t="shared" si="2"/>
        <v>0</v>
      </c>
      <c r="K61" s="11">
        <f t="shared" si="2"/>
        <v>0</v>
      </c>
      <c r="L61" s="16">
        <f t="shared" si="2"/>
        <v>0</v>
      </c>
    </row>
    <row r="62" spans="1:12" x14ac:dyDescent="0.25">
      <c r="B62" s="15" t="s">
        <v>233</v>
      </c>
      <c r="C62" s="11">
        <v>0</v>
      </c>
      <c r="D62" s="11">
        <v>0</v>
      </c>
      <c r="E62" s="11">
        <v>0</v>
      </c>
      <c r="F62" s="11">
        <v>0</v>
      </c>
      <c r="G62" s="12">
        <v>0</v>
      </c>
      <c r="H62" s="11">
        <f t="shared" si="2"/>
        <v>0</v>
      </c>
      <c r="I62" s="11">
        <f t="shared" si="2"/>
        <v>0</v>
      </c>
      <c r="J62" s="11">
        <f t="shared" si="2"/>
        <v>0</v>
      </c>
      <c r="K62" s="11">
        <f t="shared" si="2"/>
        <v>0</v>
      </c>
      <c r="L62" s="16">
        <f t="shared" si="2"/>
        <v>0</v>
      </c>
    </row>
    <row r="63" spans="1:12" x14ac:dyDescent="0.25">
      <c r="B63" s="15" t="s">
        <v>234</v>
      </c>
      <c r="C63" s="11">
        <v>0</v>
      </c>
      <c r="D63" s="11">
        <v>0</v>
      </c>
      <c r="E63" s="11">
        <v>0</v>
      </c>
      <c r="F63" s="11">
        <v>0</v>
      </c>
      <c r="G63" s="12">
        <v>0</v>
      </c>
      <c r="H63" s="11">
        <f t="shared" si="2"/>
        <v>0</v>
      </c>
      <c r="I63" s="11">
        <f t="shared" si="2"/>
        <v>0</v>
      </c>
      <c r="J63" s="11">
        <f t="shared" si="2"/>
        <v>0</v>
      </c>
      <c r="K63" s="11">
        <f t="shared" si="2"/>
        <v>0</v>
      </c>
      <c r="L63" s="16">
        <f t="shared" si="2"/>
        <v>0</v>
      </c>
    </row>
    <row r="64" spans="1:12" x14ac:dyDescent="0.25">
      <c r="B64" s="15" t="s">
        <v>235</v>
      </c>
      <c r="C64" s="11">
        <v>0</v>
      </c>
      <c r="D64" s="11">
        <v>0</v>
      </c>
      <c r="E64" s="11">
        <v>0</v>
      </c>
      <c r="F64" s="11">
        <v>0</v>
      </c>
      <c r="G64" s="12">
        <v>0</v>
      </c>
      <c r="H64" s="11">
        <f t="shared" si="2"/>
        <v>0</v>
      </c>
      <c r="I64" s="11">
        <f t="shared" si="2"/>
        <v>0</v>
      </c>
      <c r="J64" s="11">
        <f t="shared" si="2"/>
        <v>0</v>
      </c>
      <c r="K64" s="11">
        <f t="shared" si="2"/>
        <v>0</v>
      </c>
      <c r="L64" s="16">
        <f t="shared" si="2"/>
        <v>0</v>
      </c>
    </row>
    <row r="65" spans="2:12" x14ac:dyDescent="0.25">
      <c r="B65" s="15" t="s">
        <v>236</v>
      </c>
      <c r="C65" s="11">
        <v>0</v>
      </c>
      <c r="D65" s="11">
        <v>0</v>
      </c>
      <c r="E65" s="11">
        <v>0</v>
      </c>
      <c r="F65" s="11">
        <v>0</v>
      </c>
      <c r="G65" s="12">
        <v>0</v>
      </c>
      <c r="H65" s="11">
        <f t="shared" si="2"/>
        <v>0</v>
      </c>
      <c r="I65" s="11">
        <f t="shared" si="2"/>
        <v>0</v>
      </c>
      <c r="J65" s="11">
        <f t="shared" si="2"/>
        <v>0</v>
      </c>
      <c r="K65" s="11">
        <f t="shared" si="2"/>
        <v>0</v>
      </c>
      <c r="L65" s="16">
        <f t="shared" si="2"/>
        <v>0</v>
      </c>
    </row>
    <row r="66" spans="2:12" x14ac:dyDescent="0.25">
      <c r="B66" s="15" t="s">
        <v>237</v>
      </c>
      <c r="C66" s="11">
        <v>0</v>
      </c>
      <c r="D66" s="11">
        <v>0</v>
      </c>
      <c r="E66" s="11">
        <v>0</v>
      </c>
      <c r="F66" s="11">
        <v>0</v>
      </c>
      <c r="G66" s="12">
        <v>0</v>
      </c>
      <c r="H66" s="11">
        <f t="shared" si="2"/>
        <v>0</v>
      </c>
      <c r="I66" s="11">
        <f t="shared" si="2"/>
        <v>0</v>
      </c>
      <c r="J66" s="11">
        <f t="shared" si="2"/>
        <v>0</v>
      </c>
      <c r="K66" s="11">
        <f t="shared" si="2"/>
        <v>0</v>
      </c>
      <c r="L66" s="16">
        <f t="shared" si="2"/>
        <v>0</v>
      </c>
    </row>
    <row r="67" spans="2:12" x14ac:dyDescent="0.25">
      <c r="B67" s="15" t="s">
        <v>238</v>
      </c>
      <c r="C67" s="11">
        <v>0</v>
      </c>
      <c r="D67" s="11">
        <v>0</v>
      </c>
      <c r="E67" s="11">
        <v>0</v>
      </c>
      <c r="F67" s="11">
        <v>0</v>
      </c>
      <c r="G67" s="12">
        <v>0</v>
      </c>
      <c r="H67" s="11">
        <f t="shared" si="2"/>
        <v>0</v>
      </c>
      <c r="I67" s="11">
        <f t="shared" si="2"/>
        <v>0</v>
      </c>
      <c r="J67" s="11">
        <f t="shared" si="2"/>
        <v>0</v>
      </c>
      <c r="K67" s="11">
        <f t="shared" si="2"/>
        <v>0</v>
      </c>
      <c r="L67" s="16">
        <f t="shared" si="2"/>
        <v>0</v>
      </c>
    </row>
    <row r="68" spans="2:12" x14ac:dyDescent="0.25">
      <c r="B68" s="15" t="s">
        <v>239</v>
      </c>
      <c r="C68" s="11">
        <v>0</v>
      </c>
      <c r="D68" s="11">
        <v>0</v>
      </c>
      <c r="E68" s="11">
        <v>0</v>
      </c>
      <c r="F68" s="11">
        <v>0</v>
      </c>
      <c r="G68" s="12">
        <v>0</v>
      </c>
      <c r="H68" s="11">
        <f t="shared" si="2"/>
        <v>0</v>
      </c>
      <c r="I68" s="11">
        <f t="shared" si="2"/>
        <v>0</v>
      </c>
      <c r="J68" s="11">
        <f t="shared" si="2"/>
        <v>0</v>
      </c>
      <c r="K68" s="11">
        <f t="shared" si="2"/>
        <v>0</v>
      </c>
      <c r="L68" s="16">
        <f t="shared" si="2"/>
        <v>0</v>
      </c>
    </row>
    <row r="69" spans="2:12" x14ac:dyDescent="0.25">
      <c r="B69" s="15" t="s">
        <v>240</v>
      </c>
      <c r="C69" s="11">
        <v>242623219000</v>
      </c>
      <c r="D69" s="11">
        <v>219085635000</v>
      </c>
      <c r="E69" s="11">
        <v>200927820000</v>
      </c>
      <c r="F69" s="11">
        <v>185645766000</v>
      </c>
      <c r="G69" s="12">
        <v>200523327000</v>
      </c>
      <c r="H69" s="11">
        <f>H70+H73+H76</f>
        <v>163729244885.75934</v>
      </c>
      <c r="I69" s="11">
        <f>I70+I73+I76</f>
        <v>140925791937.89526</v>
      </c>
      <c r="J69" s="11">
        <f>J70+J73+J76</f>
        <v>107779510753.73621</v>
      </c>
      <c r="K69" s="11">
        <f>K70+K73+K76</f>
        <v>89126445747.126526</v>
      </c>
      <c r="L69" s="16">
        <f>L70+L73+L76</f>
        <v>64510552268.870483</v>
      </c>
    </row>
    <row r="70" spans="2:12" x14ac:dyDescent="0.25">
      <c r="B70" s="15" t="s">
        <v>241</v>
      </c>
      <c r="C70" s="11">
        <v>191167289000</v>
      </c>
      <c r="D70" s="11">
        <v>169441402000</v>
      </c>
      <c r="E70" s="11">
        <v>152530989000</v>
      </c>
      <c r="F70" s="11">
        <v>137785852000</v>
      </c>
      <c r="G70" s="12">
        <v>152447776000</v>
      </c>
      <c r="H70" s="11">
        <f>H71+H72</f>
        <v>115653693885.75934</v>
      </c>
      <c r="I70" s="11">
        <f>I71+I72</f>
        <v>92850240937.895264</v>
      </c>
      <c r="J70" s="11">
        <f>J71+J72</f>
        <v>59703959753.736206</v>
      </c>
      <c r="K70" s="11">
        <f>K71+K72</f>
        <v>41050894747.126526</v>
      </c>
      <c r="L70" s="16">
        <f>L71+L72</f>
        <v>16435001268.870483</v>
      </c>
    </row>
    <row r="71" spans="2:12" x14ac:dyDescent="0.25">
      <c r="B71" s="15" t="s">
        <v>242</v>
      </c>
      <c r="C71" s="11">
        <v>423377171000</v>
      </c>
      <c r="D71" s="11">
        <v>429045147000</v>
      </c>
      <c r="E71" s="11">
        <v>439723581000</v>
      </c>
      <c r="F71" s="11">
        <v>452084455000</v>
      </c>
      <c r="G71" s="12">
        <v>485880443000</v>
      </c>
      <c r="H71" s="11">
        <f>TSCĐ!G4</f>
        <v>500488089000</v>
      </c>
      <c r="I71" s="11">
        <f>TSCĐ!H4</f>
        <v>527807605800.20752</v>
      </c>
      <c r="J71" s="11">
        <f>TSCĐ!I4</f>
        <v>542830059283.46588</v>
      </c>
      <c r="K71" s="11">
        <f>TSCĐ!J4</f>
        <v>571120291922.27051</v>
      </c>
      <c r="L71" s="16">
        <f>TSCĐ!K4</f>
        <v>591804458458.55981</v>
      </c>
    </row>
    <row r="72" spans="2:12" x14ac:dyDescent="0.25">
      <c r="B72" s="15" t="s">
        <v>243</v>
      </c>
      <c r="C72" s="11">
        <v>-232209881000</v>
      </c>
      <c r="D72" s="11">
        <v>-259603745000</v>
      </c>
      <c r="E72" s="11">
        <v>-287192591000</v>
      </c>
      <c r="F72" s="11">
        <v>-314298604000</v>
      </c>
      <c r="G72" s="12">
        <v>-333432667000</v>
      </c>
      <c r="H72" s="11">
        <f>TSCĐ!G5</f>
        <v>-384834395114.24066</v>
      </c>
      <c r="I72" s="11">
        <f>TSCĐ!H5</f>
        <v>-434957364862.31226</v>
      </c>
      <c r="J72" s="11">
        <f>TSCĐ!I5</f>
        <v>-483126099529.72968</v>
      </c>
      <c r="K72" s="11">
        <f>TSCĐ!J5</f>
        <v>-530069397175.14398</v>
      </c>
      <c r="L72" s="16">
        <f>TSCĐ!K5</f>
        <v>-575369457189.68933</v>
      </c>
    </row>
    <row r="73" spans="2:12" x14ac:dyDescent="0.25">
      <c r="B73" s="15" t="s">
        <v>244</v>
      </c>
      <c r="C73" s="11">
        <v>0</v>
      </c>
      <c r="D73" s="11">
        <v>0</v>
      </c>
      <c r="E73" s="11">
        <v>0</v>
      </c>
      <c r="F73" s="11">
        <v>0</v>
      </c>
      <c r="G73" s="12">
        <v>0</v>
      </c>
      <c r="H73" s="11">
        <f t="shared" ref="H73:L81" si="3">G73</f>
        <v>0</v>
      </c>
      <c r="I73" s="11">
        <f t="shared" si="3"/>
        <v>0</v>
      </c>
      <c r="J73" s="11">
        <f t="shared" si="3"/>
        <v>0</v>
      </c>
      <c r="K73" s="11">
        <f t="shared" si="3"/>
        <v>0</v>
      </c>
      <c r="L73" s="16">
        <f t="shared" si="3"/>
        <v>0</v>
      </c>
    </row>
    <row r="74" spans="2:12" x14ac:dyDescent="0.25">
      <c r="B74" s="15" t="s">
        <v>242</v>
      </c>
      <c r="C74" s="11">
        <v>0</v>
      </c>
      <c r="D74" s="11">
        <v>0</v>
      </c>
      <c r="E74" s="11">
        <v>0</v>
      </c>
      <c r="F74" s="11">
        <v>0</v>
      </c>
      <c r="G74" s="12">
        <v>0</v>
      </c>
      <c r="H74" s="11">
        <f t="shared" si="3"/>
        <v>0</v>
      </c>
      <c r="I74" s="11">
        <f t="shared" si="3"/>
        <v>0</v>
      </c>
      <c r="J74" s="11">
        <f t="shared" si="3"/>
        <v>0</v>
      </c>
      <c r="K74" s="11">
        <f t="shared" si="3"/>
        <v>0</v>
      </c>
      <c r="L74" s="16">
        <f t="shared" si="3"/>
        <v>0</v>
      </c>
    </row>
    <row r="75" spans="2:12" x14ac:dyDescent="0.25">
      <c r="B75" s="15" t="s">
        <v>243</v>
      </c>
      <c r="C75" s="11">
        <v>0</v>
      </c>
      <c r="D75" s="11">
        <v>0</v>
      </c>
      <c r="E75" s="11">
        <v>0</v>
      </c>
      <c r="F75" s="11">
        <v>0</v>
      </c>
      <c r="G75" s="12">
        <v>0</v>
      </c>
      <c r="H75" s="11">
        <f t="shared" si="3"/>
        <v>0</v>
      </c>
      <c r="I75" s="11">
        <f t="shared" si="3"/>
        <v>0</v>
      </c>
      <c r="J75" s="11">
        <f t="shared" si="3"/>
        <v>0</v>
      </c>
      <c r="K75" s="11">
        <f t="shared" si="3"/>
        <v>0</v>
      </c>
      <c r="L75" s="16">
        <f t="shared" si="3"/>
        <v>0</v>
      </c>
    </row>
    <row r="76" spans="2:12" x14ac:dyDescent="0.25">
      <c r="B76" s="15" t="s">
        <v>245</v>
      </c>
      <c r="C76" s="11">
        <v>51455930000</v>
      </c>
      <c r="D76" s="11">
        <v>49644233000</v>
      </c>
      <c r="E76" s="11">
        <v>48396831000</v>
      </c>
      <c r="F76" s="11">
        <v>47859915000</v>
      </c>
      <c r="G76" s="12">
        <v>48075551000</v>
      </c>
      <c r="H76" s="11">
        <f t="shared" si="3"/>
        <v>48075551000</v>
      </c>
      <c r="I76" s="11">
        <f t="shared" si="3"/>
        <v>48075551000</v>
      </c>
      <c r="J76" s="11">
        <f t="shared" si="3"/>
        <v>48075551000</v>
      </c>
      <c r="K76" s="11">
        <f t="shared" si="3"/>
        <v>48075551000</v>
      </c>
      <c r="L76" s="16">
        <f t="shared" si="3"/>
        <v>48075551000</v>
      </c>
    </row>
    <row r="77" spans="2:12" x14ac:dyDescent="0.25">
      <c r="B77" s="15" t="s">
        <v>242</v>
      </c>
      <c r="C77" s="11">
        <v>57680854000</v>
      </c>
      <c r="D77" s="11">
        <v>57650854000</v>
      </c>
      <c r="E77" s="11">
        <v>57650854000</v>
      </c>
      <c r="F77" s="11">
        <v>58250854000</v>
      </c>
      <c r="G77" s="12">
        <v>59791814000</v>
      </c>
      <c r="H77" s="11">
        <f t="shared" si="3"/>
        <v>59791814000</v>
      </c>
      <c r="I77" s="11">
        <f t="shared" si="3"/>
        <v>59791814000</v>
      </c>
      <c r="J77" s="11">
        <f t="shared" si="3"/>
        <v>59791814000</v>
      </c>
      <c r="K77" s="11">
        <f t="shared" si="3"/>
        <v>59791814000</v>
      </c>
      <c r="L77" s="16">
        <f t="shared" si="3"/>
        <v>59791814000</v>
      </c>
    </row>
    <row r="78" spans="2:12" x14ac:dyDescent="0.25">
      <c r="B78" s="15" t="s">
        <v>243</v>
      </c>
      <c r="C78" s="11">
        <v>-6224924000</v>
      </c>
      <c r="D78" s="11">
        <v>-8006620000</v>
      </c>
      <c r="E78" s="11">
        <v>-9254023000</v>
      </c>
      <c r="F78" s="11">
        <v>-10390939000</v>
      </c>
      <c r="G78" s="12">
        <v>-11716262000</v>
      </c>
      <c r="H78" s="11">
        <f t="shared" si="3"/>
        <v>-11716262000</v>
      </c>
      <c r="I78" s="11">
        <f t="shared" si="3"/>
        <v>-11716262000</v>
      </c>
      <c r="J78" s="11">
        <f t="shared" si="3"/>
        <v>-11716262000</v>
      </c>
      <c r="K78" s="11">
        <f t="shared" si="3"/>
        <v>-11716262000</v>
      </c>
      <c r="L78" s="16">
        <f t="shared" si="3"/>
        <v>-11716262000</v>
      </c>
    </row>
    <row r="79" spans="2:12" x14ac:dyDescent="0.25">
      <c r="B79" s="15" t="s">
        <v>246</v>
      </c>
      <c r="C79" s="11">
        <v>0</v>
      </c>
      <c r="D79" s="11">
        <v>0</v>
      </c>
      <c r="E79" s="11">
        <v>0</v>
      </c>
      <c r="F79" s="11">
        <v>0</v>
      </c>
      <c r="G79" s="12">
        <v>0</v>
      </c>
      <c r="H79" s="11">
        <f t="shared" si="3"/>
        <v>0</v>
      </c>
      <c r="I79" s="11">
        <f t="shared" si="3"/>
        <v>0</v>
      </c>
      <c r="J79" s="11">
        <f t="shared" si="3"/>
        <v>0</v>
      </c>
      <c r="K79" s="11">
        <f t="shared" si="3"/>
        <v>0</v>
      </c>
      <c r="L79" s="16">
        <f t="shared" si="3"/>
        <v>0</v>
      </c>
    </row>
    <row r="80" spans="2:12" x14ac:dyDescent="0.25">
      <c r="B80" s="15" t="s">
        <v>242</v>
      </c>
      <c r="C80" s="11">
        <v>0</v>
      </c>
      <c r="D80" s="11">
        <v>0</v>
      </c>
      <c r="E80" s="11">
        <v>0</v>
      </c>
      <c r="F80" s="11">
        <v>0</v>
      </c>
      <c r="G80" s="12">
        <v>0</v>
      </c>
      <c r="H80" s="11">
        <f t="shared" si="3"/>
        <v>0</v>
      </c>
      <c r="I80" s="11">
        <f t="shared" si="3"/>
        <v>0</v>
      </c>
      <c r="J80" s="11">
        <f t="shared" si="3"/>
        <v>0</v>
      </c>
      <c r="K80" s="11">
        <f t="shared" si="3"/>
        <v>0</v>
      </c>
      <c r="L80" s="16">
        <f t="shared" si="3"/>
        <v>0</v>
      </c>
    </row>
    <row r="81" spans="2:12" x14ac:dyDescent="0.25">
      <c r="B81" s="15" t="s">
        <v>243</v>
      </c>
      <c r="C81" s="11">
        <v>0</v>
      </c>
      <c r="D81" s="11">
        <v>0</v>
      </c>
      <c r="E81" s="11">
        <v>0</v>
      </c>
      <c r="F81" s="11">
        <v>0</v>
      </c>
      <c r="G81" s="12">
        <v>0</v>
      </c>
      <c r="H81" s="11">
        <f t="shared" si="3"/>
        <v>0</v>
      </c>
      <c r="I81" s="11">
        <f t="shared" si="3"/>
        <v>0</v>
      </c>
      <c r="J81" s="11">
        <f t="shared" si="3"/>
        <v>0</v>
      </c>
      <c r="K81" s="11">
        <f t="shared" si="3"/>
        <v>0</v>
      </c>
      <c r="L81" s="16">
        <f t="shared" si="3"/>
        <v>0</v>
      </c>
    </row>
    <row r="82" spans="2:12" x14ac:dyDescent="0.25">
      <c r="B82" s="15" t="s">
        <v>247</v>
      </c>
      <c r="C82" s="11">
        <v>1869249000</v>
      </c>
      <c r="D82" s="11">
        <v>1379610000</v>
      </c>
      <c r="E82" s="11">
        <v>2464967000</v>
      </c>
      <c r="F82" s="11">
        <v>25264977000</v>
      </c>
      <c r="G82" s="12">
        <v>14607646000</v>
      </c>
      <c r="H82" s="11">
        <f>TSCĐ!G25</f>
        <v>27319516800.207489</v>
      </c>
      <c r="I82" s="11">
        <f>TSCĐ!H25</f>
        <v>15022453483.258385</v>
      </c>
      <c r="J82" s="11">
        <f>TSCĐ!I25</f>
        <v>28290232638.804573</v>
      </c>
      <c r="K82" s="11">
        <f>TSCĐ!J25</f>
        <v>20684166536.289276</v>
      </c>
      <c r="L82" s="16">
        <f>TSCĐ!K25</f>
        <v>42498808492.388329</v>
      </c>
    </row>
    <row r="83" spans="2:12" x14ac:dyDescent="0.25">
      <c r="B83" s="15" t="s">
        <v>248</v>
      </c>
      <c r="C83" s="11">
        <v>0</v>
      </c>
      <c r="D83" s="11">
        <v>0</v>
      </c>
      <c r="E83" s="11">
        <v>0</v>
      </c>
      <c r="F83" s="11">
        <v>0</v>
      </c>
      <c r="G83" s="12">
        <v>0</v>
      </c>
      <c r="H83" s="11">
        <f>TSCĐ!G26</f>
        <v>0</v>
      </c>
      <c r="I83" s="11">
        <f>TSCĐ!H26</f>
        <v>0</v>
      </c>
      <c r="J83" s="11">
        <f>TSCĐ!I26</f>
        <v>0</v>
      </c>
      <c r="K83" s="11">
        <f>TSCĐ!J26</f>
        <v>0</v>
      </c>
      <c r="L83" s="16">
        <f>TSCĐ!K26</f>
        <v>0</v>
      </c>
    </row>
    <row r="84" spans="2:12" x14ac:dyDescent="0.25">
      <c r="B84" s="15" t="s">
        <v>249</v>
      </c>
      <c r="C84" s="11">
        <v>1869249000</v>
      </c>
      <c r="D84" s="11">
        <v>1379610000</v>
      </c>
      <c r="E84" s="11">
        <v>2464967000</v>
      </c>
      <c r="F84" s="11">
        <v>25264977000</v>
      </c>
      <c r="G84" s="12">
        <v>14607646000</v>
      </c>
      <c r="H84" s="11">
        <f>TSCĐ!G27</f>
        <v>27319516800.207489</v>
      </c>
      <c r="I84" s="11">
        <f>TSCĐ!H27</f>
        <v>15022453483.258385</v>
      </c>
      <c r="J84" s="11">
        <f>TSCĐ!I27</f>
        <v>28290232638.804573</v>
      </c>
      <c r="K84" s="11">
        <f>TSCĐ!J27</f>
        <v>20684166536.289276</v>
      </c>
      <c r="L84" s="16">
        <f>TSCĐ!K27</f>
        <v>42498808492.388329</v>
      </c>
    </row>
    <row r="85" spans="2:12" x14ac:dyDescent="0.25">
      <c r="B85" s="15" t="s">
        <v>250</v>
      </c>
      <c r="C85" s="11">
        <v>13168997000</v>
      </c>
      <c r="D85" s="11">
        <v>10572928000</v>
      </c>
      <c r="E85" s="11">
        <v>12001582000</v>
      </c>
      <c r="F85" s="11">
        <v>12137262000</v>
      </c>
      <c r="G85" s="12">
        <v>12843956000</v>
      </c>
      <c r="H85" s="11">
        <f t="shared" ref="H85:L97" si="4">G85</f>
        <v>12843956000</v>
      </c>
      <c r="I85" s="11">
        <f t="shared" si="4"/>
        <v>12843956000</v>
      </c>
      <c r="J85" s="11">
        <f t="shared" si="4"/>
        <v>12843956000</v>
      </c>
      <c r="K85" s="11">
        <f t="shared" si="4"/>
        <v>12843956000</v>
      </c>
      <c r="L85" s="16">
        <f t="shared" si="4"/>
        <v>12843956000</v>
      </c>
    </row>
    <row r="86" spans="2:12" x14ac:dyDescent="0.25">
      <c r="B86" s="15" t="s">
        <v>251</v>
      </c>
      <c r="C86" s="11">
        <v>0</v>
      </c>
      <c r="D86" s="11">
        <v>0</v>
      </c>
      <c r="E86" s="11">
        <v>0</v>
      </c>
      <c r="F86" s="11">
        <v>0</v>
      </c>
      <c r="G86" s="12">
        <v>0</v>
      </c>
      <c r="H86" s="11">
        <f t="shared" si="4"/>
        <v>0</v>
      </c>
      <c r="I86" s="11">
        <f t="shared" si="4"/>
        <v>0</v>
      </c>
      <c r="J86" s="11">
        <f t="shared" si="4"/>
        <v>0</v>
      </c>
      <c r="K86" s="11">
        <f t="shared" si="4"/>
        <v>0</v>
      </c>
      <c r="L86" s="16">
        <f t="shared" si="4"/>
        <v>0</v>
      </c>
    </row>
    <row r="87" spans="2:12" x14ac:dyDescent="0.25">
      <c r="B87" s="15" t="s">
        <v>252</v>
      </c>
      <c r="C87" s="11">
        <v>0</v>
      </c>
      <c r="D87" s="11">
        <v>0</v>
      </c>
      <c r="E87" s="11">
        <v>0</v>
      </c>
      <c r="F87" s="11">
        <v>0</v>
      </c>
      <c r="G87" s="12">
        <v>0</v>
      </c>
      <c r="H87" s="11">
        <f t="shared" si="4"/>
        <v>0</v>
      </c>
      <c r="I87" s="11">
        <f t="shared" si="4"/>
        <v>0</v>
      </c>
      <c r="J87" s="11">
        <f t="shared" si="4"/>
        <v>0</v>
      </c>
      <c r="K87" s="11">
        <f t="shared" si="4"/>
        <v>0</v>
      </c>
      <c r="L87" s="16">
        <f t="shared" si="4"/>
        <v>0</v>
      </c>
    </row>
    <row r="88" spans="2:12" x14ac:dyDescent="0.25">
      <c r="B88" s="15" t="s">
        <v>253</v>
      </c>
      <c r="C88" s="11">
        <v>20000000000</v>
      </c>
      <c r="D88" s="11">
        <v>20000000000</v>
      </c>
      <c r="E88" s="11">
        <v>20000000000</v>
      </c>
      <c r="F88" s="11">
        <v>20000000000</v>
      </c>
      <c r="G88" s="12">
        <v>20000000000</v>
      </c>
      <c r="H88" s="11">
        <f t="shared" si="4"/>
        <v>20000000000</v>
      </c>
      <c r="I88" s="11">
        <f t="shared" si="4"/>
        <v>20000000000</v>
      </c>
      <c r="J88" s="11">
        <f t="shared" si="4"/>
        <v>20000000000</v>
      </c>
      <c r="K88" s="11">
        <f t="shared" si="4"/>
        <v>20000000000</v>
      </c>
      <c r="L88" s="16">
        <f t="shared" si="4"/>
        <v>20000000000</v>
      </c>
    </row>
    <row r="89" spans="2:12" x14ac:dyDescent="0.25">
      <c r="B89" s="15" t="s">
        <v>254</v>
      </c>
      <c r="C89" s="11">
        <v>-6831003000</v>
      </c>
      <c r="D89" s="11">
        <v>-9427072000</v>
      </c>
      <c r="E89" s="11">
        <v>-7998418000</v>
      </c>
      <c r="F89" s="11">
        <v>-7862738000</v>
      </c>
      <c r="G89" s="12">
        <v>-7156044000</v>
      </c>
      <c r="H89" s="11">
        <f t="shared" si="4"/>
        <v>-7156044000</v>
      </c>
      <c r="I89" s="11">
        <f t="shared" si="4"/>
        <v>-7156044000</v>
      </c>
      <c r="J89" s="11">
        <f t="shared" si="4"/>
        <v>-7156044000</v>
      </c>
      <c r="K89" s="11">
        <f t="shared" si="4"/>
        <v>-7156044000</v>
      </c>
      <c r="L89" s="16">
        <f t="shared" si="4"/>
        <v>-7156044000</v>
      </c>
    </row>
    <row r="90" spans="2:12" x14ac:dyDescent="0.25">
      <c r="B90" s="15" t="s">
        <v>255</v>
      </c>
      <c r="C90" s="11">
        <v>0</v>
      </c>
      <c r="D90" s="11">
        <v>0</v>
      </c>
      <c r="E90" s="11">
        <v>0</v>
      </c>
      <c r="F90" s="11">
        <v>0</v>
      </c>
      <c r="G90" s="12">
        <v>0</v>
      </c>
      <c r="H90" s="11">
        <f t="shared" si="4"/>
        <v>0</v>
      </c>
      <c r="I90" s="11">
        <f t="shared" si="4"/>
        <v>0</v>
      </c>
      <c r="J90" s="11">
        <f t="shared" si="4"/>
        <v>0</v>
      </c>
      <c r="K90" s="11">
        <f t="shared" si="4"/>
        <v>0</v>
      </c>
      <c r="L90" s="16">
        <f t="shared" si="4"/>
        <v>0</v>
      </c>
    </row>
    <row r="91" spans="2:12" x14ac:dyDescent="0.25">
      <c r="B91" s="15" t="s">
        <v>256</v>
      </c>
      <c r="C91" s="11">
        <v>0</v>
      </c>
      <c r="D91" s="11">
        <v>0</v>
      </c>
      <c r="E91" s="11">
        <v>0</v>
      </c>
      <c r="F91" s="11">
        <v>0</v>
      </c>
      <c r="G91" s="12">
        <v>0</v>
      </c>
      <c r="H91" s="11">
        <f t="shared" si="4"/>
        <v>0</v>
      </c>
      <c r="I91" s="11">
        <f t="shared" si="4"/>
        <v>0</v>
      </c>
      <c r="J91" s="11">
        <f t="shared" si="4"/>
        <v>0</v>
      </c>
      <c r="K91" s="11">
        <f t="shared" si="4"/>
        <v>0</v>
      </c>
      <c r="L91" s="16">
        <f t="shared" si="4"/>
        <v>0</v>
      </c>
    </row>
    <row r="92" spans="2:12" x14ac:dyDescent="0.25">
      <c r="B92" s="15" t="s">
        <v>257</v>
      </c>
      <c r="C92" s="11">
        <v>10367593000</v>
      </c>
      <c r="D92" s="11">
        <v>10026175000</v>
      </c>
      <c r="E92" s="11">
        <v>10868322000</v>
      </c>
      <c r="F92" s="11">
        <v>10349026000</v>
      </c>
      <c r="G92" s="12">
        <v>6536020000</v>
      </c>
      <c r="H92" s="11">
        <f t="shared" si="4"/>
        <v>6536020000</v>
      </c>
      <c r="I92" s="11">
        <f t="shared" si="4"/>
        <v>6536020000</v>
      </c>
      <c r="J92" s="11">
        <f t="shared" si="4"/>
        <v>6536020000</v>
      </c>
      <c r="K92" s="11">
        <f t="shared" si="4"/>
        <v>6536020000</v>
      </c>
      <c r="L92" s="16">
        <f t="shared" si="4"/>
        <v>6536020000</v>
      </c>
    </row>
    <row r="93" spans="2:12" x14ac:dyDescent="0.25">
      <c r="B93" s="15" t="s">
        <v>258</v>
      </c>
      <c r="C93" s="11">
        <v>8282301000</v>
      </c>
      <c r="D93" s="11">
        <v>4640793000</v>
      </c>
      <c r="E93" s="11">
        <v>1941485000</v>
      </c>
      <c r="F93" s="11">
        <v>6454525000</v>
      </c>
      <c r="G93" s="12">
        <v>6536020000</v>
      </c>
      <c r="H93" s="11">
        <f t="shared" si="4"/>
        <v>6536020000</v>
      </c>
      <c r="I93" s="11">
        <f t="shared" si="4"/>
        <v>6536020000</v>
      </c>
      <c r="J93" s="11">
        <f t="shared" si="4"/>
        <v>6536020000</v>
      </c>
      <c r="K93" s="11">
        <f t="shared" si="4"/>
        <v>6536020000</v>
      </c>
      <c r="L93" s="16">
        <f t="shared" si="4"/>
        <v>6536020000</v>
      </c>
    </row>
    <row r="94" spans="2:12" x14ac:dyDescent="0.25">
      <c r="B94" s="15" t="s">
        <v>259</v>
      </c>
      <c r="C94" s="11">
        <v>2085293000</v>
      </c>
      <c r="D94" s="11">
        <v>5385381000</v>
      </c>
      <c r="E94" s="11">
        <v>8926837000</v>
      </c>
      <c r="F94" s="11">
        <v>3894501000</v>
      </c>
      <c r="G94" s="12">
        <v>0</v>
      </c>
      <c r="H94" s="11">
        <f t="shared" si="4"/>
        <v>0</v>
      </c>
      <c r="I94" s="11">
        <f t="shared" si="4"/>
        <v>0</v>
      </c>
      <c r="J94" s="11">
        <f t="shared" si="4"/>
        <v>0</v>
      </c>
      <c r="K94" s="11">
        <f t="shared" si="4"/>
        <v>0</v>
      </c>
      <c r="L94" s="16">
        <f t="shared" si="4"/>
        <v>0</v>
      </c>
    </row>
    <row r="95" spans="2:12" x14ac:dyDescent="0.25">
      <c r="B95" s="15" t="s">
        <v>260</v>
      </c>
      <c r="C95" s="11">
        <v>0</v>
      </c>
      <c r="D95" s="11">
        <v>0</v>
      </c>
      <c r="E95" s="11">
        <v>0</v>
      </c>
      <c r="F95" s="11">
        <v>0</v>
      </c>
      <c r="G95" s="12">
        <v>0</v>
      </c>
      <c r="H95" s="11">
        <f t="shared" si="4"/>
        <v>0</v>
      </c>
      <c r="I95" s="11">
        <f t="shared" si="4"/>
        <v>0</v>
      </c>
      <c r="J95" s="11">
        <f t="shared" si="4"/>
        <v>0</v>
      </c>
      <c r="K95" s="11">
        <f t="shared" si="4"/>
        <v>0</v>
      </c>
      <c r="L95" s="16">
        <f t="shared" si="4"/>
        <v>0</v>
      </c>
    </row>
    <row r="96" spans="2:12" x14ac:dyDescent="0.25">
      <c r="B96" s="15" t="s">
        <v>261</v>
      </c>
      <c r="C96" s="11">
        <v>0</v>
      </c>
      <c r="D96" s="11">
        <v>0</v>
      </c>
      <c r="E96" s="11">
        <v>0</v>
      </c>
      <c r="F96" s="11">
        <v>0</v>
      </c>
      <c r="G96" s="12">
        <v>0</v>
      </c>
      <c r="H96" s="11">
        <f t="shared" si="4"/>
        <v>0</v>
      </c>
      <c r="I96" s="11">
        <f t="shared" si="4"/>
        <v>0</v>
      </c>
      <c r="J96" s="11">
        <f t="shared" si="4"/>
        <v>0</v>
      </c>
      <c r="K96" s="11">
        <f t="shared" si="4"/>
        <v>0</v>
      </c>
      <c r="L96" s="16">
        <f t="shared" si="4"/>
        <v>0</v>
      </c>
    </row>
    <row r="97" spans="2:12" x14ac:dyDescent="0.25">
      <c r="B97" s="15" t="s">
        <v>262</v>
      </c>
      <c r="C97" s="11">
        <v>0</v>
      </c>
      <c r="D97" s="11">
        <v>0</v>
      </c>
      <c r="E97" s="11">
        <v>0</v>
      </c>
      <c r="F97" s="11">
        <v>0</v>
      </c>
      <c r="G97" s="12">
        <v>0</v>
      </c>
      <c r="H97" s="11">
        <f t="shared" si="4"/>
        <v>0</v>
      </c>
      <c r="I97" s="11">
        <f t="shared" si="4"/>
        <v>0</v>
      </c>
      <c r="J97" s="11">
        <f t="shared" si="4"/>
        <v>0</v>
      </c>
      <c r="K97" s="11">
        <f t="shared" si="4"/>
        <v>0</v>
      </c>
      <c r="L97" s="16">
        <f t="shared" si="4"/>
        <v>0</v>
      </c>
    </row>
    <row r="98" spans="2:12" x14ac:dyDescent="0.25">
      <c r="B98" s="26" t="s">
        <v>263</v>
      </c>
      <c r="C98" s="27">
        <v>988023167000</v>
      </c>
      <c r="D98" s="27">
        <v>1083994144000</v>
      </c>
      <c r="E98" s="27">
        <v>1305473339000</v>
      </c>
      <c r="F98" s="27">
        <v>1465088857000</v>
      </c>
      <c r="G98" s="28">
        <v>1533052514000</v>
      </c>
      <c r="H98" s="27">
        <f>H33+H60</f>
        <v>1659703995872.1953</v>
      </c>
      <c r="I98" s="27">
        <f>I33+I60</f>
        <v>1892355273860.7805</v>
      </c>
      <c r="J98" s="27">
        <f>J33+J60</f>
        <v>2076681149325.5015</v>
      </c>
      <c r="K98" s="27">
        <f>K33+K60</f>
        <v>2415194234611.3672</v>
      </c>
      <c r="L98" s="29">
        <f>L33+L60</f>
        <v>2748715827532.436</v>
      </c>
    </row>
    <row r="99" spans="2:12" x14ac:dyDescent="0.25">
      <c r="C99" s="2"/>
      <c r="D99" s="2"/>
      <c r="E99" s="2"/>
      <c r="F99" s="2"/>
      <c r="H99" s="2"/>
      <c r="I99" s="2"/>
      <c r="J99" s="2"/>
      <c r="K99" s="2"/>
      <c r="L99" s="2"/>
    </row>
    <row r="100" spans="2:12" x14ac:dyDescent="0.25">
      <c r="B100" s="6" t="s">
        <v>264</v>
      </c>
      <c r="C100" s="7"/>
      <c r="D100" s="7"/>
      <c r="E100" s="7"/>
      <c r="F100" s="7"/>
      <c r="G100" s="7">
        <v>279568197000</v>
      </c>
      <c r="H100" s="7">
        <f>SUM(H103:H111)+SUM(H113:H114)</f>
        <v>269389309679.18951</v>
      </c>
      <c r="I100" s="7">
        <f>SUM(I103:I111)+SUM(I113:I114)</f>
        <v>342772739530.44769</v>
      </c>
      <c r="J100" s="7"/>
      <c r="K100" s="7"/>
      <c r="L100" s="9"/>
    </row>
    <row r="101" spans="2:12" x14ac:dyDescent="0.25">
      <c r="B101" s="15" t="s">
        <v>265</v>
      </c>
      <c r="C101" s="11">
        <v>194704671000</v>
      </c>
      <c r="D101" s="11">
        <v>200360743000</v>
      </c>
      <c r="E101" s="11">
        <v>352667425000</v>
      </c>
      <c r="F101" s="11">
        <v>335549024000</v>
      </c>
      <c r="G101" s="12">
        <v>280783825000</v>
      </c>
      <c r="H101" s="11">
        <f>H102+H117</f>
        <v>270604937679.18951</v>
      </c>
      <c r="I101" s="11">
        <f>I102+I117</f>
        <v>343988367530.44769</v>
      </c>
      <c r="J101" s="11">
        <f>J102+J117</f>
        <v>353205453304.97864</v>
      </c>
      <c r="K101" s="11">
        <f>K102+K117</f>
        <v>478369817646.8208</v>
      </c>
      <c r="L101" s="16">
        <f>L102+L117</f>
        <v>555336150255.85474</v>
      </c>
    </row>
    <row r="102" spans="2:12" x14ac:dyDescent="0.25">
      <c r="B102" s="15" t="s">
        <v>266</v>
      </c>
      <c r="C102" s="11">
        <v>193727679000</v>
      </c>
      <c r="D102" s="11">
        <v>199685823000</v>
      </c>
      <c r="E102" s="11">
        <v>351855610000</v>
      </c>
      <c r="F102" s="11">
        <v>334490689000</v>
      </c>
      <c r="G102" s="12">
        <v>279568196000</v>
      </c>
      <c r="H102" s="11">
        <f>SUM(H103:H116)</f>
        <v>269389309679.18951</v>
      </c>
      <c r="I102" s="11">
        <f>SUM(I103:I116)</f>
        <v>342772739530.44769</v>
      </c>
      <c r="J102" s="11">
        <f>SUM(J103:J116)</f>
        <v>351989825304.97864</v>
      </c>
      <c r="K102" s="11">
        <f>SUM(K103:K116)</f>
        <v>477154189646.8208</v>
      </c>
      <c r="L102" s="16">
        <f>SUM(L103:L116)</f>
        <v>554120522255.85474</v>
      </c>
    </row>
    <row r="103" spans="2:12" x14ac:dyDescent="0.25">
      <c r="B103" s="15" t="s">
        <v>267</v>
      </c>
      <c r="C103" s="11">
        <v>137615613000</v>
      </c>
      <c r="D103" s="11">
        <v>120021312000</v>
      </c>
      <c r="E103" s="11">
        <v>162270656000</v>
      </c>
      <c r="F103" s="11">
        <v>216705486000</v>
      </c>
      <c r="G103" s="12">
        <v>220083387000</v>
      </c>
      <c r="H103" s="11">
        <f>'Vốn lưu động'!G54</f>
        <v>189265086356.50043</v>
      </c>
      <c r="I103" s="11">
        <f>'Vốn lưu động'!H54</f>
        <v>257866361652.06708</v>
      </c>
      <c r="J103" s="11">
        <f>'Vốn lưu động'!I54</f>
        <v>254756892338.44757</v>
      </c>
      <c r="K103" s="11">
        <f>'Vốn lưu động'!J54</f>
        <v>360890967348.9411</v>
      </c>
      <c r="L103" s="16">
        <f>'Vốn lưu động'!K54</f>
        <v>409193809904.00433</v>
      </c>
    </row>
    <row r="104" spans="2:12" x14ac:dyDescent="0.25">
      <c r="B104" s="15" t="s">
        <v>268</v>
      </c>
      <c r="C104" s="11">
        <v>7262977000</v>
      </c>
      <c r="D104" s="11">
        <v>5293777000</v>
      </c>
      <c r="E104" s="11">
        <v>964967000</v>
      </c>
      <c r="F104" s="11">
        <v>653649000</v>
      </c>
      <c r="G104" s="12">
        <v>1549210000</v>
      </c>
      <c r="H104" s="11">
        <f>'Vốn lưu động'!G57</f>
        <v>1093048976.432709</v>
      </c>
      <c r="I104" s="11">
        <f>'Vốn lưu động'!H57</f>
        <v>1193937692.179935</v>
      </c>
      <c r="J104" s="11">
        <f>'Vốn lưu động'!I57</f>
        <v>1368814981.7086372</v>
      </c>
      <c r="K104" s="11">
        <f>'Vốn lưu động'!J57</f>
        <v>1643912965.7831471</v>
      </c>
      <c r="L104" s="16">
        <f>'Vốn lưu động'!K57</f>
        <v>2056292944.3483558</v>
      </c>
    </row>
    <row r="105" spans="2:12" x14ac:dyDescent="0.25">
      <c r="B105" s="15" t="s">
        <v>269</v>
      </c>
      <c r="C105" s="11">
        <v>16908625000</v>
      </c>
      <c r="D105" s="11">
        <v>17905654000</v>
      </c>
      <c r="E105" s="11">
        <v>21363506000</v>
      </c>
      <c r="F105" s="11">
        <v>18447952000</v>
      </c>
      <c r="G105" s="12">
        <v>17712191000</v>
      </c>
      <c r="H105" s="11">
        <f>'Vốn lưu động'!G60</f>
        <v>18168794849.53458</v>
      </c>
      <c r="I105" s="11">
        <f>'Vốn lưu động'!H60</f>
        <v>19845779521.371197</v>
      </c>
      <c r="J105" s="11">
        <f>'Vốn lưu động'!I60</f>
        <v>22752611388.740185</v>
      </c>
      <c r="K105" s="11">
        <f>'Vốn lưu động'!J60</f>
        <v>27325323997.174713</v>
      </c>
      <c r="L105" s="16">
        <f>'Vốn lưu động'!K60</f>
        <v>34179954843.689209</v>
      </c>
    </row>
    <row r="106" spans="2:12" x14ac:dyDescent="0.25">
      <c r="B106" s="15" t="s">
        <v>270</v>
      </c>
      <c r="C106" s="11">
        <v>13882890000</v>
      </c>
      <c r="D106" s="11">
        <v>24060726000</v>
      </c>
      <c r="E106" s="11">
        <v>63613225000</v>
      </c>
      <c r="F106" s="11">
        <v>48420914000</v>
      </c>
      <c r="G106" s="12">
        <v>13165437000</v>
      </c>
      <c r="H106" s="11">
        <f>'Vốn lưu động'!G63</f>
        <v>31442741372.11562</v>
      </c>
      <c r="I106" s="11">
        <f>'Vốn lưu động'!H63</f>
        <v>34344914893.157482</v>
      </c>
      <c r="J106" s="11">
        <f>'Vốn lưu động'!I63</f>
        <v>39375450125.396523</v>
      </c>
      <c r="K106" s="11">
        <f>'Vốn lưu động'!J63</f>
        <v>47288942523.033569</v>
      </c>
      <c r="L106" s="16">
        <f>'Vốn lưu động'!K63</f>
        <v>59151500644.9776</v>
      </c>
    </row>
    <row r="107" spans="2:12" x14ac:dyDescent="0.25">
      <c r="B107" s="15" t="s">
        <v>271</v>
      </c>
      <c r="C107" s="11">
        <v>15226837000</v>
      </c>
      <c r="D107" s="11">
        <v>30009383000</v>
      </c>
      <c r="E107" s="11">
        <v>48041909000</v>
      </c>
      <c r="F107" s="11">
        <v>23221729000</v>
      </c>
      <c r="G107" s="12">
        <v>17199979000</v>
      </c>
      <c r="H107" s="11">
        <f>'Vốn lưu động'!G66</f>
        <v>20386252216.794456</v>
      </c>
      <c r="I107" s="11">
        <f>'Vốn lưu động'!H66</f>
        <v>22267908802.544022</v>
      </c>
      <c r="J107" s="11">
        <f>'Vốn lưu động'!I66</f>
        <v>25529512452.690239</v>
      </c>
      <c r="K107" s="11">
        <f>'Vốn lưu động'!J66</f>
        <v>30660313549.982079</v>
      </c>
      <c r="L107" s="16">
        <f>'Vốn lưu động'!K66</f>
        <v>38351535474.569084</v>
      </c>
    </row>
    <row r="108" spans="2:12" x14ac:dyDescent="0.25">
      <c r="B108" s="15" t="s">
        <v>272</v>
      </c>
      <c r="C108" s="11">
        <v>0</v>
      </c>
      <c r="D108" s="11">
        <v>0</v>
      </c>
      <c r="E108" s="11">
        <v>0</v>
      </c>
      <c r="F108" s="11">
        <v>0</v>
      </c>
      <c r="G108" s="12">
        <v>0</v>
      </c>
      <c r="H108" s="11">
        <f>'Vốn lưu động'!G69</f>
        <v>0</v>
      </c>
      <c r="I108" s="11">
        <f>'Vốn lưu động'!H69</f>
        <v>0</v>
      </c>
      <c r="J108" s="11">
        <f>'Vốn lưu động'!I69</f>
        <v>0</v>
      </c>
      <c r="K108" s="11">
        <f>'Vốn lưu động'!J69</f>
        <v>0</v>
      </c>
      <c r="L108" s="16">
        <f>'Vốn lưu động'!K69</f>
        <v>0</v>
      </c>
    </row>
    <row r="109" spans="2:12" x14ac:dyDescent="0.25">
      <c r="B109" s="15" t="s">
        <v>273</v>
      </c>
      <c r="C109" s="11">
        <v>0</v>
      </c>
      <c r="D109" s="11">
        <v>0</v>
      </c>
      <c r="E109" s="11">
        <v>0</v>
      </c>
      <c r="F109" s="11">
        <v>0</v>
      </c>
      <c r="G109" s="12">
        <v>0</v>
      </c>
      <c r="H109" s="11">
        <f>'Vốn lưu động'!G72</f>
        <v>0</v>
      </c>
      <c r="I109" s="11">
        <f>'Vốn lưu động'!H72</f>
        <v>0</v>
      </c>
      <c r="J109" s="11">
        <f>'Vốn lưu động'!I72</f>
        <v>0</v>
      </c>
      <c r="K109" s="11">
        <f>'Vốn lưu động'!J72</f>
        <v>0</v>
      </c>
      <c r="L109" s="16">
        <f>'Vốn lưu động'!K72</f>
        <v>0</v>
      </c>
    </row>
    <row r="110" spans="2:12" x14ac:dyDescent="0.25">
      <c r="B110" s="15" t="s">
        <v>274</v>
      </c>
      <c r="C110" s="11">
        <v>0</v>
      </c>
      <c r="D110" s="11">
        <v>0</v>
      </c>
      <c r="E110" s="11">
        <v>0</v>
      </c>
      <c r="F110" s="11">
        <v>0</v>
      </c>
      <c r="G110" s="12">
        <v>0</v>
      </c>
      <c r="H110" s="11">
        <f>'Vốn lưu động'!G75</f>
        <v>0</v>
      </c>
      <c r="I110" s="11">
        <f>'Vốn lưu động'!H75</f>
        <v>0</v>
      </c>
      <c r="J110" s="11">
        <f>'Vốn lưu động'!I75</f>
        <v>0</v>
      </c>
      <c r="K110" s="11">
        <f>'Vốn lưu động'!J75</f>
        <v>0</v>
      </c>
      <c r="L110" s="16">
        <f>'Vốn lưu động'!K75</f>
        <v>0</v>
      </c>
    </row>
    <row r="111" spans="2:12" x14ac:dyDescent="0.25">
      <c r="B111" s="15" t="s">
        <v>275</v>
      </c>
      <c r="C111" s="11">
        <v>1247324000</v>
      </c>
      <c r="D111" s="11">
        <v>2000492000</v>
      </c>
      <c r="E111" s="11">
        <v>53301931000</v>
      </c>
      <c r="F111" s="11">
        <v>1252579000</v>
      </c>
      <c r="G111" s="12">
        <v>2872091000</v>
      </c>
      <c r="H111" s="11">
        <f>'Vốn lưu động'!G78</f>
        <v>2047483907.8116937</v>
      </c>
      <c r="I111" s="11">
        <f>'Vốn lưu động'!H78</f>
        <v>2236467225.5093069</v>
      </c>
      <c r="J111" s="11">
        <f>'Vốn lưu động'!I78</f>
        <v>2564044894.8286715</v>
      </c>
      <c r="K111" s="11">
        <f>'Vốn lưu động'!J78</f>
        <v>3079354553.9642177</v>
      </c>
      <c r="L111" s="16">
        <f>'Vốn lưu động'!K78</f>
        <v>3851818906.6335745</v>
      </c>
    </row>
    <row r="112" spans="2:12" x14ac:dyDescent="0.25">
      <c r="B112" s="15" t="s">
        <v>276</v>
      </c>
      <c r="C112" s="11">
        <v>0</v>
      </c>
      <c r="D112" s="11">
        <v>0</v>
      </c>
      <c r="E112" s="11">
        <v>0</v>
      </c>
      <c r="F112" s="11">
        <v>23497576000</v>
      </c>
      <c r="G112" s="12">
        <v>0</v>
      </c>
      <c r="H112" s="11">
        <f>'DT&amp;CP tài chính'!G6</f>
        <v>0</v>
      </c>
      <c r="I112" s="11">
        <f>'DT&amp;CP tài chính'!H6</f>
        <v>0</v>
      </c>
      <c r="J112" s="11">
        <f>'DT&amp;CP tài chính'!I6</f>
        <v>0</v>
      </c>
      <c r="K112" s="11">
        <f>'DT&amp;CP tài chính'!J6</f>
        <v>0</v>
      </c>
      <c r="L112" s="16">
        <f>'DT&amp;CP tài chính'!K6</f>
        <v>0</v>
      </c>
    </row>
    <row r="113" spans="2:12" x14ac:dyDescent="0.25">
      <c r="B113" s="15" t="s">
        <v>277</v>
      </c>
      <c r="C113" s="11">
        <v>0</v>
      </c>
      <c r="D113" s="11">
        <v>0</v>
      </c>
      <c r="E113" s="11">
        <v>0</v>
      </c>
      <c r="F113" s="11">
        <v>0</v>
      </c>
      <c r="G113" s="12">
        <v>0</v>
      </c>
      <c r="H113" s="11">
        <f>'Vốn lưu động'!G81</f>
        <v>0</v>
      </c>
      <c r="I113" s="11">
        <f>'Vốn lưu động'!H81</f>
        <v>0</v>
      </c>
      <c r="J113" s="11">
        <f>'Vốn lưu động'!I81</f>
        <v>0</v>
      </c>
      <c r="K113" s="11">
        <f>'Vốn lưu động'!J81</f>
        <v>0</v>
      </c>
      <c r="L113" s="11">
        <f>'Vốn lưu động'!K81</f>
        <v>0</v>
      </c>
    </row>
    <row r="114" spans="2:12" x14ac:dyDescent="0.25">
      <c r="B114" s="15" t="s">
        <v>278</v>
      </c>
      <c r="C114" s="11">
        <v>1583413000</v>
      </c>
      <c r="D114" s="11">
        <v>394478000</v>
      </c>
      <c r="E114" s="11">
        <v>2299415000</v>
      </c>
      <c r="F114" s="11">
        <v>2290805000</v>
      </c>
      <c r="G114" s="12">
        <v>6985902000</v>
      </c>
      <c r="H114" s="11">
        <f>'Vốn lưu động'!G84</f>
        <v>6985902000</v>
      </c>
      <c r="I114" s="11">
        <f>'Vốn lưu động'!H84</f>
        <v>5017369743.6187057</v>
      </c>
      <c r="J114" s="11">
        <f>'Vốn lưu động'!I84</f>
        <v>5642499123.1667404</v>
      </c>
      <c r="K114" s="11">
        <f>'Vốn lưu động'!J84</f>
        <v>6265374707.9420433</v>
      </c>
      <c r="L114" s="16">
        <f>'Vốn lưu động'!K84</f>
        <v>7335609537.632616</v>
      </c>
    </row>
    <row r="115" spans="2:12" x14ac:dyDescent="0.25">
      <c r="B115" s="15" t="s">
        <v>279</v>
      </c>
      <c r="C115" s="11">
        <v>0</v>
      </c>
      <c r="D115" s="11">
        <v>0</v>
      </c>
      <c r="E115" s="11">
        <v>0</v>
      </c>
      <c r="F115" s="11">
        <v>0</v>
      </c>
      <c r="G115" s="12">
        <v>0</v>
      </c>
      <c r="H115" s="11">
        <f t="shared" ref="H115:L116" si="5">G115</f>
        <v>0</v>
      </c>
      <c r="I115" s="11">
        <f t="shared" si="5"/>
        <v>0</v>
      </c>
      <c r="J115" s="11">
        <f t="shared" si="5"/>
        <v>0</v>
      </c>
      <c r="K115" s="11">
        <f t="shared" si="5"/>
        <v>0</v>
      </c>
      <c r="L115" s="16">
        <f t="shared" si="5"/>
        <v>0</v>
      </c>
    </row>
    <row r="116" spans="2:12" x14ac:dyDescent="0.25">
      <c r="B116" s="15" t="s">
        <v>280</v>
      </c>
      <c r="C116" s="11">
        <v>0</v>
      </c>
      <c r="D116" s="11">
        <v>0</v>
      </c>
      <c r="E116" s="11">
        <v>0</v>
      </c>
      <c r="F116" s="11">
        <v>0</v>
      </c>
      <c r="G116" s="12">
        <v>0</v>
      </c>
      <c r="H116" s="11">
        <f t="shared" si="5"/>
        <v>0</v>
      </c>
      <c r="I116" s="11">
        <f t="shared" si="5"/>
        <v>0</v>
      </c>
      <c r="J116" s="11">
        <f t="shared" si="5"/>
        <v>0</v>
      </c>
      <c r="K116" s="11">
        <f t="shared" si="5"/>
        <v>0</v>
      </c>
      <c r="L116" s="16">
        <f t="shared" si="5"/>
        <v>0</v>
      </c>
    </row>
    <row r="117" spans="2:12" x14ac:dyDescent="0.25">
      <c r="B117" s="15" t="s">
        <v>281</v>
      </c>
      <c r="C117" s="11">
        <v>976991000</v>
      </c>
      <c r="D117" s="11">
        <v>674920000</v>
      </c>
      <c r="E117" s="11">
        <v>811815000</v>
      </c>
      <c r="F117" s="11">
        <v>1058336000</v>
      </c>
      <c r="G117" s="12">
        <v>1215628000</v>
      </c>
      <c r="H117" s="11">
        <f>SUM(H118:H131)</f>
        <v>1215628000</v>
      </c>
      <c r="I117" s="11">
        <f>SUM(I118:I131)</f>
        <v>1215628000</v>
      </c>
      <c r="J117" s="11">
        <f>SUM(J118:J131)</f>
        <v>1215628000</v>
      </c>
      <c r="K117" s="11">
        <f>SUM(K118:K131)</f>
        <v>1215628000</v>
      </c>
      <c r="L117" s="16">
        <f>SUM(L118:L131)</f>
        <v>1215628000</v>
      </c>
    </row>
    <row r="118" spans="2:12" x14ac:dyDescent="0.25">
      <c r="B118" s="15" t="s">
        <v>282</v>
      </c>
      <c r="C118" s="11">
        <v>0</v>
      </c>
      <c r="D118" s="11">
        <v>0</v>
      </c>
      <c r="E118" s="11">
        <v>0</v>
      </c>
      <c r="F118" s="11">
        <v>0</v>
      </c>
      <c r="G118" s="12">
        <v>0</v>
      </c>
      <c r="H118" s="11">
        <f t="shared" ref="H118:L131" si="6">G118</f>
        <v>0</v>
      </c>
      <c r="I118" s="11">
        <f t="shared" si="6"/>
        <v>0</v>
      </c>
      <c r="J118" s="11">
        <f t="shared" si="6"/>
        <v>0</v>
      </c>
      <c r="K118" s="11">
        <f t="shared" si="6"/>
        <v>0</v>
      </c>
      <c r="L118" s="16">
        <f t="shared" si="6"/>
        <v>0</v>
      </c>
    </row>
    <row r="119" spans="2:12" x14ac:dyDescent="0.25">
      <c r="B119" s="15" t="s">
        <v>283</v>
      </c>
      <c r="C119" s="11">
        <v>0</v>
      </c>
      <c r="D119" s="11">
        <v>0</v>
      </c>
      <c r="E119" s="11">
        <v>0</v>
      </c>
      <c r="F119" s="11">
        <v>0</v>
      </c>
      <c r="G119" s="12">
        <v>0</v>
      </c>
      <c r="H119" s="11">
        <f t="shared" si="6"/>
        <v>0</v>
      </c>
      <c r="I119" s="11">
        <f t="shared" si="6"/>
        <v>0</v>
      </c>
      <c r="J119" s="11">
        <f t="shared" si="6"/>
        <v>0</v>
      </c>
      <c r="K119" s="11">
        <f t="shared" si="6"/>
        <v>0</v>
      </c>
      <c r="L119" s="16">
        <f t="shared" si="6"/>
        <v>0</v>
      </c>
    </row>
    <row r="120" spans="2:12" x14ac:dyDescent="0.25">
      <c r="B120" s="15" t="s">
        <v>284</v>
      </c>
      <c r="C120" s="11">
        <v>0</v>
      </c>
      <c r="D120" s="11">
        <v>0</v>
      </c>
      <c r="E120" s="11">
        <v>0</v>
      </c>
      <c r="F120" s="11">
        <v>0</v>
      </c>
      <c r="G120" s="12">
        <v>0</v>
      </c>
      <c r="H120" s="11">
        <f t="shared" si="6"/>
        <v>0</v>
      </c>
      <c r="I120" s="11">
        <f t="shared" si="6"/>
        <v>0</v>
      </c>
      <c r="J120" s="11">
        <f t="shared" si="6"/>
        <v>0</v>
      </c>
      <c r="K120" s="11">
        <f t="shared" si="6"/>
        <v>0</v>
      </c>
      <c r="L120" s="16">
        <f t="shared" si="6"/>
        <v>0</v>
      </c>
    </row>
    <row r="121" spans="2:12" x14ac:dyDescent="0.25">
      <c r="B121" s="15" t="s">
        <v>285</v>
      </c>
      <c r="C121" s="11">
        <v>0</v>
      </c>
      <c r="D121" s="11">
        <v>0</v>
      </c>
      <c r="E121" s="11">
        <v>0</v>
      </c>
      <c r="F121" s="11">
        <v>0</v>
      </c>
      <c r="G121" s="12">
        <v>0</v>
      </c>
      <c r="H121" s="11">
        <f t="shared" si="6"/>
        <v>0</v>
      </c>
      <c r="I121" s="11">
        <f t="shared" si="6"/>
        <v>0</v>
      </c>
      <c r="J121" s="11">
        <f t="shared" si="6"/>
        <v>0</v>
      </c>
      <c r="K121" s="11">
        <f t="shared" si="6"/>
        <v>0</v>
      </c>
      <c r="L121" s="16">
        <f t="shared" si="6"/>
        <v>0</v>
      </c>
    </row>
    <row r="122" spans="2:12" x14ac:dyDescent="0.25">
      <c r="B122" s="15" t="s">
        <v>286</v>
      </c>
      <c r="C122" s="11">
        <v>0</v>
      </c>
      <c r="D122" s="11">
        <v>0</v>
      </c>
      <c r="E122" s="11">
        <v>0</v>
      </c>
      <c r="F122" s="11">
        <v>0</v>
      </c>
      <c r="G122" s="12">
        <v>0</v>
      </c>
      <c r="H122" s="11">
        <f t="shared" si="6"/>
        <v>0</v>
      </c>
      <c r="I122" s="11">
        <f t="shared" si="6"/>
        <v>0</v>
      </c>
      <c r="J122" s="11">
        <f t="shared" si="6"/>
        <v>0</v>
      </c>
      <c r="K122" s="11">
        <f t="shared" si="6"/>
        <v>0</v>
      </c>
      <c r="L122" s="16">
        <f t="shared" si="6"/>
        <v>0</v>
      </c>
    </row>
    <row r="123" spans="2:12" x14ac:dyDescent="0.25">
      <c r="B123" s="15" t="s">
        <v>287</v>
      </c>
      <c r="C123" s="11">
        <v>0</v>
      </c>
      <c r="D123" s="11">
        <v>0</v>
      </c>
      <c r="E123" s="11">
        <v>0</v>
      </c>
      <c r="F123" s="11">
        <v>0</v>
      </c>
      <c r="G123" s="12">
        <v>0</v>
      </c>
      <c r="H123" s="11">
        <f t="shared" si="6"/>
        <v>0</v>
      </c>
      <c r="I123" s="11">
        <f t="shared" si="6"/>
        <v>0</v>
      </c>
      <c r="J123" s="11">
        <f t="shared" si="6"/>
        <v>0</v>
      </c>
      <c r="K123" s="11">
        <f t="shared" si="6"/>
        <v>0</v>
      </c>
      <c r="L123" s="16">
        <f t="shared" si="6"/>
        <v>0</v>
      </c>
    </row>
    <row r="124" spans="2:12" x14ac:dyDescent="0.25">
      <c r="B124" s="15" t="s">
        <v>288</v>
      </c>
      <c r="C124" s="11">
        <v>976991000</v>
      </c>
      <c r="D124" s="11">
        <v>674920000</v>
      </c>
      <c r="E124" s="11">
        <v>811815000</v>
      </c>
      <c r="F124" s="11">
        <v>1058336000</v>
      </c>
      <c r="G124" s="12">
        <v>1215628000</v>
      </c>
      <c r="H124" s="11">
        <f t="shared" si="6"/>
        <v>1215628000</v>
      </c>
      <c r="I124" s="11">
        <f t="shared" si="6"/>
        <v>1215628000</v>
      </c>
      <c r="J124" s="11">
        <f t="shared" si="6"/>
        <v>1215628000</v>
      </c>
      <c r="K124" s="11">
        <f t="shared" si="6"/>
        <v>1215628000</v>
      </c>
      <c r="L124" s="16">
        <f t="shared" si="6"/>
        <v>1215628000</v>
      </c>
    </row>
    <row r="125" spans="2:12" x14ac:dyDescent="0.25">
      <c r="B125" s="15" t="s">
        <v>289</v>
      </c>
      <c r="C125" s="11">
        <v>0</v>
      </c>
      <c r="D125" s="11">
        <v>0</v>
      </c>
      <c r="E125" s="11">
        <v>0</v>
      </c>
      <c r="F125" s="11">
        <v>0</v>
      </c>
      <c r="G125" s="12">
        <v>0</v>
      </c>
      <c r="H125" s="11">
        <f t="shared" si="6"/>
        <v>0</v>
      </c>
      <c r="I125" s="11">
        <f t="shared" si="6"/>
        <v>0</v>
      </c>
      <c r="J125" s="11">
        <f t="shared" si="6"/>
        <v>0</v>
      </c>
      <c r="K125" s="11">
        <f t="shared" si="6"/>
        <v>0</v>
      </c>
      <c r="L125" s="16">
        <f t="shared" si="6"/>
        <v>0</v>
      </c>
    </row>
    <row r="126" spans="2:12" x14ac:dyDescent="0.25">
      <c r="B126" s="15" t="s">
        <v>290</v>
      </c>
      <c r="C126" s="11">
        <v>0</v>
      </c>
      <c r="D126" s="11">
        <v>0</v>
      </c>
      <c r="E126" s="11">
        <v>0</v>
      </c>
      <c r="F126" s="11">
        <v>0</v>
      </c>
      <c r="G126" s="12">
        <v>0</v>
      </c>
      <c r="H126" s="11">
        <f t="shared" si="6"/>
        <v>0</v>
      </c>
      <c r="I126" s="11">
        <f t="shared" si="6"/>
        <v>0</v>
      </c>
      <c r="J126" s="11">
        <f t="shared" si="6"/>
        <v>0</v>
      </c>
      <c r="K126" s="11">
        <f t="shared" si="6"/>
        <v>0</v>
      </c>
      <c r="L126" s="16">
        <f t="shared" si="6"/>
        <v>0</v>
      </c>
    </row>
    <row r="127" spans="2:12" x14ac:dyDescent="0.25">
      <c r="B127" s="15" t="s">
        <v>291</v>
      </c>
      <c r="C127" s="11">
        <v>0</v>
      </c>
      <c r="D127" s="11">
        <v>0</v>
      </c>
      <c r="E127" s="11">
        <v>0</v>
      </c>
      <c r="F127" s="11">
        <v>0</v>
      </c>
      <c r="G127" s="12">
        <v>0</v>
      </c>
      <c r="H127" s="11">
        <f t="shared" si="6"/>
        <v>0</v>
      </c>
      <c r="I127" s="11">
        <f t="shared" si="6"/>
        <v>0</v>
      </c>
      <c r="J127" s="11">
        <f t="shared" si="6"/>
        <v>0</v>
      </c>
      <c r="K127" s="11">
        <f t="shared" si="6"/>
        <v>0</v>
      </c>
      <c r="L127" s="16">
        <f t="shared" si="6"/>
        <v>0</v>
      </c>
    </row>
    <row r="128" spans="2:12" x14ac:dyDescent="0.25">
      <c r="B128" s="15" t="s">
        <v>292</v>
      </c>
      <c r="C128" s="11">
        <v>0</v>
      </c>
      <c r="D128" s="11">
        <v>0</v>
      </c>
      <c r="E128" s="11">
        <v>0</v>
      </c>
      <c r="F128" s="11">
        <v>0</v>
      </c>
      <c r="G128" s="12">
        <v>0</v>
      </c>
      <c r="H128" s="11">
        <f t="shared" si="6"/>
        <v>0</v>
      </c>
      <c r="I128" s="11">
        <f t="shared" si="6"/>
        <v>0</v>
      </c>
      <c r="J128" s="11">
        <f t="shared" si="6"/>
        <v>0</v>
      </c>
      <c r="K128" s="11">
        <f t="shared" si="6"/>
        <v>0</v>
      </c>
      <c r="L128" s="16">
        <f t="shared" si="6"/>
        <v>0</v>
      </c>
    </row>
    <row r="129" spans="2:12" x14ac:dyDescent="0.25">
      <c r="B129" s="15" t="s">
        <v>293</v>
      </c>
      <c r="C129" s="11">
        <v>0</v>
      </c>
      <c r="D129" s="11">
        <v>0</v>
      </c>
      <c r="E129" s="11">
        <v>0</v>
      </c>
      <c r="F129" s="11">
        <v>0</v>
      </c>
      <c r="G129" s="12">
        <v>0</v>
      </c>
      <c r="H129" s="11">
        <f t="shared" si="6"/>
        <v>0</v>
      </c>
      <c r="I129" s="11">
        <f t="shared" si="6"/>
        <v>0</v>
      </c>
      <c r="J129" s="11">
        <f t="shared" si="6"/>
        <v>0</v>
      </c>
      <c r="K129" s="11">
        <f t="shared" si="6"/>
        <v>0</v>
      </c>
      <c r="L129" s="16">
        <f t="shared" si="6"/>
        <v>0</v>
      </c>
    </row>
    <row r="130" spans="2:12" x14ac:dyDescent="0.25">
      <c r="B130" s="15" t="s">
        <v>294</v>
      </c>
      <c r="C130" s="11">
        <v>0</v>
      </c>
      <c r="D130" s="11">
        <v>0</v>
      </c>
      <c r="E130" s="11">
        <v>0</v>
      </c>
      <c r="F130" s="11">
        <v>0</v>
      </c>
      <c r="G130" s="12">
        <v>0</v>
      </c>
      <c r="H130" s="11">
        <f t="shared" si="6"/>
        <v>0</v>
      </c>
      <c r="I130" s="11">
        <f t="shared" si="6"/>
        <v>0</v>
      </c>
      <c r="J130" s="11">
        <f t="shared" si="6"/>
        <v>0</v>
      </c>
      <c r="K130" s="11">
        <f t="shared" si="6"/>
        <v>0</v>
      </c>
      <c r="L130" s="16">
        <f t="shared" si="6"/>
        <v>0</v>
      </c>
    </row>
    <row r="131" spans="2:12" x14ac:dyDescent="0.25">
      <c r="B131" s="15" t="s">
        <v>295</v>
      </c>
      <c r="C131" s="11">
        <v>0</v>
      </c>
      <c r="D131" s="11">
        <v>0</v>
      </c>
      <c r="E131" s="11">
        <v>0</v>
      </c>
      <c r="F131" s="11">
        <v>0</v>
      </c>
      <c r="G131" s="12">
        <v>0</v>
      </c>
      <c r="H131" s="11">
        <f t="shared" si="6"/>
        <v>0</v>
      </c>
      <c r="I131" s="11">
        <f t="shared" si="6"/>
        <v>0</v>
      </c>
      <c r="J131" s="11">
        <f t="shared" si="6"/>
        <v>0</v>
      </c>
      <c r="K131" s="11">
        <f t="shared" si="6"/>
        <v>0</v>
      </c>
      <c r="L131" s="16">
        <f t="shared" si="6"/>
        <v>0</v>
      </c>
    </row>
    <row r="132" spans="2:12" x14ac:dyDescent="0.25">
      <c r="B132" s="15" t="s">
        <v>296</v>
      </c>
      <c r="C132" s="11">
        <v>793318496000</v>
      </c>
      <c r="D132" s="11">
        <v>883633401000</v>
      </c>
      <c r="E132" s="11">
        <v>952805914000</v>
      </c>
      <c r="F132" s="11">
        <v>1129539832000</v>
      </c>
      <c r="G132" s="12">
        <v>1252268690000</v>
      </c>
      <c r="H132" s="11">
        <f>H133+H152+H155</f>
        <v>1389099058193.0059</v>
      </c>
      <c r="I132" s="11">
        <f>I133+I152+I155</f>
        <v>1548366906330.3328</v>
      </c>
      <c r="J132" s="11">
        <f>J133+J152+J155</f>
        <v>1723475696020.5229</v>
      </c>
      <c r="K132" s="11">
        <f>K133+K152+K155</f>
        <v>1936824416964.5464</v>
      </c>
      <c r="L132" s="11">
        <f>L133+L152+L155</f>
        <v>2193379677276.5815</v>
      </c>
    </row>
    <row r="133" spans="2:12" x14ac:dyDescent="0.25">
      <c r="B133" s="15" t="s">
        <v>297</v>
      </c>
      <c r="C133" s="11">
        <v>793318496000</v>
      </c>
      <c r="D133" s="11">
        <v>883633401000</v>
      </c>
      <c r="E133" s="11">
        <v>952805914000</v>
      </c>
      <c r="F133" s="11">
        <v>1129539832000</v>
      </c>
      <c r="G133" s="12">
        <v>1252268690000</v>
      </c>
      <c r="H133" s="11">
        <f>H134+SUM(H137:H146)+SUM(H149:H150)</f>
        <v>1389099058193.0059</v>
      </c>
      <c r="I133" s="11">
        <f>I134+SUM(I137:I146)+SUM(I149:I150)</f>
        <v>1548366906330.3328</v>
      </c>
      <c r="J133" s="11">
        <f>J134+SUM(J137:J146)+SUM(J149:J150)</f>
        <v>1723475696020.5229</v>
      </c>
      <c r="K133" s="11">
        <f>K134+SUM(K137:K146)+SUM(K149:K150)</f>
        <v>1936824416964.5464</v>
      </c>
      <c r="L133" s="16">
        <f>L134+SUM(L137:L146)+SUM(L149:L150)</f>
        <v>2193379677276.5815</v>
      </c>
    </row>
    <row r="134" spans="2:12" x14ac:dyDescent="0.25">
      <c r="B134" s="15" t="s">
        <v>298</v>
      </c>
      <c r="C134" s="11">
        <v>267137970000</v>
      </c>
      <c r="D134" s="11">
        <v>347274650000</v>
      </c>
      <c r="E134" s="11">
        <v>347274650000</v>
      </c>
      <c r="F134" s="11">
        <v>347274650000</v>
      </c>
      <c r="G134" s="12">
        <v>347274650000</v>
      </c>
      <c r="H134" s="11">
        <f>H135+H136</f>
        <v>347274650000</v>
      </c>
      <c r="I134" s="11">
        <f>I135+I136</f>
        <v>347274650000</v>
      </c>
      <c r="J134" s="11">
        <f>J135+J136</f>
        <v>347274650000</v>
      </c>
      <c r="K134" s="11">
        <f>K135+K136</f>
        <v>347274650000</v>
      </c>
      <c r="L134" s="16">
        <f>L135+L136</f>
        <v>347274650000</v>
      </c>
    </row>
    <row r="135" spans="2:12" x14ac:dyDescent="0.25">
      <c r="B135" s="15" t="s">
        <v>299</v>
      </c>
      <c r="C135" s="11">
        <v>267137970000</v>
      </c>
      <c r="D135" s="11">
        <v>347274650000</v>
      </c>
      <c r="E135" s="11">
        <v>347274650000</v>
      </c>
      <c r="F135" s="11">
        <v>347274650000</v>
      </c>
      <c r="G135" s="12">
        <v>347274650000</v>
      </c>
      <c r="H135" s="11">
        <f>'Vốn CSH'!G5</f>
        <v>347274650000</v>
      </c>
      <c r="I135" s="11">
        <f>'Vốn CSH'!H5</f>
        <v>347274650000</v>
      </c>
      <c r="J135" s="11">
        <f>'Vốn CSH'!I5</f>
        <v>347274650000</v>
      </c>
      <c r="K135" s="11">
        <f>'Vốn CSH'!J5</f>
        <v>347274650000</v>
      </c>
      <c r="L135" s="16">
        <f>'Vốn CSH'!K5</f>
        <v>347274650000</v>
      </c>
    </row>
    <row r="136" spans="2:12" x14ac:dyDescent="0.25">
      <c r="B136" s="15" t="s">
        <v>300</v>
      </c>
      <c r="C136" s="11">
        <v>0</v>
      </c>
      <c r="D136" s="11">
        <v>0</v>
      </c>
      <c r="E136" s="11">
        <v>0</v>
      </c>
      <c r="F136" s="11">
        <v>0</v>
      </c>
      <c r="G136" s="12">
        <v>0</v>
      </c>
      <c r="H136" s="11">
        <f>'Vốn CSH'!G6</f>
        <v>0</v>
      </c>
      <c r="I136" s="11">
        <f>'Vốn CSH'!H6</f>
        <v>0</v>
      </c>
      <c r="J136" s="11">
        <f>'Vốn CSH'!I6</f>
        <v>0</v>
      </c>
      <c r="K136" s="11">
        <f>'Vốn CSH'!J6</f>
        <v>0</v>
      </c>
      <c r="L136" s="16">
        <f>'Vốn CSH'!K6</f>
        <v>0</v>
      </c>
    </row>
    <row r="137" spans="2:12" x14ac:dyDescent="0.25">
      <c r="B137" s="15" t="s">
        <v>301</v>
      </c>
      <c r="C137" s="11">
        <v>140470630000</v>
      </c>
      <c r="D137" s="11">
        <v>60333950000</v>
      </c>
      <c r="E137" s="11">
        <v>60333950000</v>
      </c>
      <c r="F137" s="11">
        <v>60333950000</v>
      </c>
      <c r="G137" s="12">
        <v>60333950000</v>
      </c>
      <c r="H137" s="11">
        <f>'Vốn CSH'!G9</f>
        <v>60333950000</v>
      </c>
      <c r="I137" s="11">
        <f>'Vốn CSH'!H9</f>
        <v>60333950000</v>
      </c>
      <c r="J137" s="11">
        <f>'Vốn CSH'!I9</f>
        <v>60333950000</v>
      </c>
      <c r="K137" s="11">
        <f>'Vốn CSH'!J9</f>
        <v>60333950000</v>
      </c>
      <c r="L137" s="16">
        <f>'Vốn CSH'!K9</f>
        <v>60333950000</v>
      </c>
    </row>
    <row r="138" spans="2:12" x14ac:dyDescent="0.25">
      <c r="B138" s="15" t="s">
        <v>302</v>
      </c>
      <c r="C138" s="11">
        <v>0</v>
      </c>
      <c r="D138" s="11">
        <v>0</v>
      </c>
      <c r="E138" s="11">
        <v>0</v>
      </c>
      <c r="F138" s="11">
        <v>0</v>
      </c>
      <c r="G138" s="12">
        <v>0</v>
      </c>
      <c r="H138" s="11">
        <f t="shared" ref="H138:L142" si="7">G138</f>
        <v>0</v>
      </c>
      <c r="I138" s="11">
        <f t="shared" si="7"/>
        <v>0</v>
      </c>
      <c r="J138" s="11">
        <f t="shared" si="7"/>
        <v>0</v>
      </c>
      <c r="K138" s="11">
        <f t="shared" si="7"/>
        <v>0</v>
      </c>
      <c r="L138" s="16">
        <f t="shared" si="7"/>
        <v>0</v>
      </c>
    </row>
    <row r="139" spans="2:12" x14ac:dyDescent="0.25">
      <c r="B139" s="15" t="s">
        <v>303</v>
      </c>
      <c r="C139" s="11">
        <v>0</v>
      </c>
      <c r="D139" s="11">
        <v>0</v>
      </c>
      <c r="E139" s="11">
        <v>0</v>
      </c>
      <c r="F139" s="11">
        <v>0</v>
      </c>
      <c r="G139" s="12">
        <v>0</v>
      </c>
      <c r="H139" s="11">
        <f t="shared" si="7"/>
        <v>0</v>
      </c>
      <c r="I139" s="11">
        <f t="shared" si="7"/>
        <v>0</v>
      </c>
      <c r="J139" s="11">
        <f t="shared" si="7"/>
        <v>0</v>
      </c>
      <c r="K139" s="11">
        <f t="shared" si="7"/>
        <v>0</v>
      </c>
      <c r="L139" s="16">
        <f t="shared" si="7"/>
        <v>0</v>
      </c>
    </row>
    <row r="140" spans="2:12" x14ac:dyDescent="0.25">
      <c r="B140" s="15" t="s">
        <v>304</v>
      </c>
      <c r="C140" s="11">
        <v>0</v>
      </c>
      <c r="D140" s="11">
        <v>0</v>
      </c>
      <c r="E140" s="11">
        <v>0</v>
      </c>
      <c r="F140" s="11">
        <v>0</v>
      </c>
      <c r="G140" s="12">
        <v>0</v>
      </c>
      <c r="H140" s="11">
        <f t="shared" si="7"/>
        <v>0</v>
      </c>
      <c r="I140" s="11">
        <f t="shared" si="7"/>
        <v>0</v>
      </c>
      <c r="J140" s="11">
        <f t="shared" si="7"/>
        <v>0</v>
      </c>
      <c r="K140" s="11">
        <f t="shared" si="7"/>
        <v>0</v>
      </c>
      <c r="L140" s="16">
        <f t="shared" si="7"/>
        <v>0</v>
      </c>
    </row>
    <row r="141" spans="2:12" x14ac:dyDescent="0.25">
      <c r="B141" s="15" t="s">
        <v>305</v>
      </c>
      <c r="C141" s="11">
        <v>0</v>
      </c>
      <c r="D141" s="11">
        <v>0</v>
      </c>
      <c r="E141" s="11">
        <v>0</v>
      </c>
      <c r="F141" s="11">
        <v>0</v>
      </c>
      <c r="G141" s="12">
        <v>0</v>
      </c>
      <c r="H141" s="11">
        <f t="shared" si="7"/>
        <v>0</v>
      </c>
      <c r="I141" s="11">
        <f t="shared" si="7"/>
        <v>0</v>
      </c>
      <c r="J141" s="11">
        <f t="shared" si="7"/>
        <v>0</v>
      </c>
      <c r="K141" s="11">
        <f t="shared" si="7"/>
        <v>0</v>
      </c>
      <c r="L141" s="16">
        <f t="shared" si="7"/>
        <v>0</v>
      </c>
    </row>
    <row r="142" spans="2:12" x14ac:dyDescent="0.25">
      <c r="B142" s="15" t="s">
        <v>306</v>
      </c>
      <c r="C142" s="11">
        <v>0</v>
      </c>
      <c r="D142" s="11">
        <v>0</v>
      </c>
      <c r="E142" s="11">
        <v>0</v>
      </c>
      <c r="F142" s="11">
        <v>0</v>
      </c>
      <c r="G142" s="12">
        <v>0</v>
      </c>
      <c r="H142" s="11">
        <f t="shared" si="7"/>
        <v>0</v>
      </c>
      <c r="I142" s="11">
        <f t="shared" si="7"/>
        <v>0</v>
      </c>
      <c r="J142" s="11">
        <f t="shared" si="7"/>
        <v>0</v>
      </c>
      <c r="K142" s="11">
        <f t="shared" si="7"/>
        <v>0</v>
      </c>
      <c r="L142" s="16">
        <f t="shared" si="7"/>
        <v>0</v>
      </c>
    </row>
    <row r="143" spans="2:12" x14ac:dyDescent="0.25">
      <c r="B143" s="15" t="s">
        <v>307</v>
      </c>
      <c r="C143" s="11">
        <v>243133032000</v>
      </c>
      <c r="D143" s="11">
        <v>306365742000</v>
      </c>
      <c r="E143" s="11">
        <v>389626549000</v>
      </c>
      <c r="F143" s="11">
        <v>493159585000</v>
      </c>
      <c r="G143" s="12">
        <v>612025497000</v>
      </c>
      <c r="H143" s="11">
        <f>'Vốn CSH'!G22</f>
        <v>730891409000</v>
      </c>
      <c r="I143" s="11">
        <f>'Vốn CSH'!H22</f>
        <v>858936358259.56458</v>
      </c>
      <c r="J143" s="11">
        <f>'Vốn CSH'!I22</f>
        <v>1002934817779.4991</v>
      </c>
      <c r="K143" s="11">
        <f>'Vốn CSH'!J22</f>
        <v>1162829269965.5139</v>
      </c>
      <c r="L143" s="16">
        <f>'Vốn CSH'!K22</f>
        <v>1350036471951.9272</v>
      </c>
    </row>
    <row r="144" spans="2:12" x14ac:dyDescent="0.25">
      <c r="B144" s="15" t="s">
        <v>308</v>
      </c>
      <c r="C144" s="11">
        <v>0</v>
      </c>
      <c r="D144" s="11">
        <v>0</v>
      </c>
      <c r="E144" s="11">
        <v>0</v>
      </c>
      <c r="F144" s="11">
        <v>0</v>
      </c>
      <c r="G144" s="12">
        <v>0</v>
      </c>
      <c r="H144" s="11">
        <f t="shared" ref="H144:L145" si="8">G144</f>
        <v>0</v>
      </c>
      <c r="I144" s="11">
        <f t="shared" si="8"/>
        <v>0</v>
      </c>
      <c r="J144" s="11">
        <f t="shared" si="8"/>
        <v>0</v>
      </c>
      <c r="K144" s="11">
        <f t="shared" si="8"/>
        <v>0</v>
      </c>
      <c r="L144" s="16">
        <f t="shared" si="8"/>
        <v>0</v>
      </c>
    </row>
    <row r="145" spans="2:12" x14ac:dyDescent="0.25">
      <c r="B145" s="15" t="s">
        <v>309</v>
      </c>
      <c r="C145" s="11">
        <v>0</v>
      </c>
      <c r="D145" s="11">
        <v>0</v>
      </c>
      <c r="E145" s="11">
        <v>0</v>
      </c>
      <c r="F145" s="11">
        <v>0</v>
      </c>
      <c r="G145" s="12">
        <v>0</v>
      </c>
      <c r="H145" s="11">
        <f t="shared" si="8"/>
        <v>0</v>
      </c>
      <c r="I145" s="11">
        <f t="shared" si="8"/>
        <v>0</v>
      </c>
      <c r="J145" s="11">
        <f t="shared" si="8"/>
        <v>0</v>
      </c>
      <c r="K145" s="11">
        <f t="shared" si="8"/>
        <v>0</v>
      </c>
      <c r="L145" s="16">
        <f t="shared" si="8"/>
        <v>0</v>
      </c>
    </row>
    <row r="146" spans="2:12" x14ac:dyDescent="0.25">
      <c r="B146" s="15" t="s">
        <v>310</v>
      </c>
      <c r="C146" s="11">
        <v>142576864000</v>
      </c>
      <c r="D146" s="11">
        <v>169659059000</v>
      </c>
      <c r="E146" s="11">
        <v>155570765000</v>
      </c>
      <c r="F146" s="11">
        <v>228771647000</v>
      </c>
      <c r="G146" s="12">
        <v>232634592000</v>
      </c>
      <c r="H146" s="11">
        <f>'Vốn CSH'!G26</f>
        <v>250599049193.0058</v>
      </c>
      <c r="I146" s="11">
        <f>'Vốn CSH'!H26</f>
        <v>281821948070.76813</v>
      </c>
      <c r="J146" s="11">
        <f>'Vốn CSH'!I26</f>
        <v>312932278241.02368</v>
      </c>
      <c r="K146" s="11">
        <f>'Vốn CSH'!J26</f>
        <v>366386546999.03253</v>
      </c>
      <c r="L146" s="16">
        <f>'Vốn CSH'!K26</f>
        <v>435734605324.65424</v>
      </c>
    </row>
    <row r="147" spans="2:12" x14ac:dyDescent="0.25">
      <c r="B147" s="15" t="s">
        <v>311</v>
      </c>
      <c r="C147" s="11">
        <v>1017585000</v>
      </c>
      <c r="D147" s="11">
        <v>1017585000</v>
      </c>
      <c r="E147" s="11">
        <v>0</v>
      </c>
      <c r="F147" s="11">
        <v>0</v>
      </c>
      <c r="G147" s="12">
        <v>0</v>
      </c>
      <c r="H147" s="11">
        <f>'Vốn CSH'!G27</f>
        <v>232634592000</v>
      </c>
      <c r="I147" s="11">
        <f>'Vốn CSH'!H27</f>
        <v>250599049193.0058</v>
      </c>
      <c r="J147" s="11">
        <f>'Vốn CSH'!I27</f>
        <v>281821948070.76813</v>
      </c>
      <c r="K147" s="11">
        <f>'Vốn CSH'!J27</f>
        <v>312932278241.02368</v>
      </c>
      <c r="L147" s="16">
        <f>'Vốn CSH'!K27</f>
        <v>366386546999.03253</v>
      </c>
    </row>
    <row r="148" spans="2:12" x14ac:dyDescent="0.25">
      <c r="B148" s="15" t="s">
        <v>312</v>
      </c>
      <c r="C148" s="11">
        <v>141559279000</v>
      </c>
      <c r="D148" s="11">
        <v>168641475000</v>
      </c>
      <c r="E148" s="11">
        <v>155570765000</v>
      </c>
      <c r="F148" s="11">
        <v>228771647000</v>
      </c>
      <c r="G148" s="12">
        <v>232634592000</v>
      </c>
      <c r="H148" s="11">
        <f>'Vốn CSH'!G28</f>
        <v>17964457193.005814</v>
      </c>
      <c r="I148" s="11">
        <f>'Vốn CSH'!H28</f>
        <v>31222898877.762352</v>
      </c>
      <c r="J148" s="11">
        <f>'Vốn CSH'!I28</f>
        <v>31110330170.255524</v>
      </c>
      <c r="K148" s="11">
        <f>'Vốn CSH'!J28</f>
        <v>53454268758.00885</v>
      </c>
      <c r="L148" s="16">
        <f>'Vốn CSH'!K28</f>
        <v>69348058325.621719</v>
      </c>
    </row>
    <row r="149" spans="2:12" x14ac:dyDescent="0.25">
      <c r="B149" s="15" t="s">
        <v>313</v>
      </c>
      <c r="C149" s="11">
        <v>0</v>
      </c>
      <c r="D149" s="11">
        <v>0</v>
      </c>
      <c r="E149" s="11">
        <v>0</v>
      </c>
      <c r="F149" s="11">
        <v>0</v>
      </c>
      <c r="G149" s="12">
        <v>0</v>
      </c>
      <c r="H149" s="11">
        <f>G149</f>
        <v>0</v>
      </c>
      <c r="I149" s="11">
        <f>H149</f>
        <v>0</v>
      </c>
      <c r="J149" s="11">
        <f>I149</f>
        <v>0</v>
      </c>
      <c r="K149" s="11">
        <f>J149</f>
        <v>0</v>
      </c>
      <c r="L149" s="16">
        <f>K149</f>
        <v>0</v>
      </c>
    </row>
    <row r="150" spans="2:12" x14ac:dyDescent="0.25">
      <c r="B150" s="15" t="s">
        <v>314</v>
      </c>
      <c r="C150" s="11">
        <v>0</v>
      </c>
      <c r="D150" s="11">
        <v>0</v>
      </c>
      <c r="E150" s="11">
        <v>0</v>
      </c>
      <c r="F150" s="11">
        <v>0</v>
      </c>
      <c r="G150" s="12">
        <v>0</v>
      </c>
      <c r="H150" s="11">
        <f>'Vốn CSH'!G42</f>
        <v>0</v>
      </c>
      <c r="I150" s="11">
        <f>'Vốn CSH'!H42</f>
        <v>0</v>
      </c>
      <c r="J150" s="11">
        <f>'Vốn CSH'!I42</f>
        <v>0</v>
      </c>
      <c r="K150" s="11">
        <f>'Vốn CSH'!J42</f>
        <v>0</v>
      </c>
      <c r="L150" s="16">
        <f>'Vốn CSH'!K42</f>
        <v>0</v>
      </c>
    </row>
    <row r="151" spans="2:12" x14ac:dyDescent="0.25">
      <c r="B151" s="15" t="s">
        <v>315</v>
      </c>
      <c r="C151" s="11">
        <v>0</v>
      </c>
      <c r="D151" s="11">
        <v>0</v>
      </c>
      <c r="E151" s="11">
        <v>0</v>
      </c>
      <c r="F151" s="11">
        <v>0</v>
      </c>
      <c r="G151" s="12">
        <v>0</v>
      </c>
      <c r="H151" s="11">
        <f t="shared" ref="H151:L155" si="9">G151</f>
        <v>0</v>
      </c>
      <c r="I151" s="11">
        <f t="shared" si="9"/>
        <v>0</v>
      </c>
      <c r="J151" s="11">
        <f t="shared" si="9"/>
        <v>0</v>
      </c>
      <c r="K151" s="11">
        <f t="shared" si="9"/>
        <v>0</v>
      </c>
      <c r="L151" s="16">
        <f t="shared" si="9"/>
        <v>0</v>
      </c>
    </row>
    <row r="152" spans="2:12" x14ac:dyDescent="0.25">
      <c r="B152" s="15" t="s">
        <v>316</v>
      </c>
      <c r="C152" s="11">
        <v>0</v>
      </c>
      <c r="D152" s="11">
        <v>0</v>
      </c>
      <c r="E152" s="11">
        <v>0</v>
      </c>
      <c r="F152" s="11">
        <v>0</v>
      </c>
      <c r="G152" s="12">
        <v>0</v>
      </c>
      <c r="H152" s="11">
        <f t="shared" si="9"/>
        <v>0</v>
      </c>
      <c r="I152" s="11">
        <f t="shared" si="9"/>
        <v>0</v>
      </c>
      <c r="J152" s="11">
        <f t="shared" si="9"/>
        <v>0</v>
      </c>
      <c r="K152" s="11">
        <f t="shared" si="9"/>
        <v>0</v>
      </c>
      <c r="L152" s="16">
        <f t="shared" si="9"/>
        <v>0</v>
      </c>
    </row>
    <row r="153" spans="2:12" x14ac:dyDescent="0.25">
      <c r="B153" s="15" t="s">
        <v>317</v>
      </c>
      <c r="C153" s="11">
        <v>0</v>
      </c>
      <c r="D153" s="11">
        <v>0</v>
      </c>
      <c r="E153" s="11">
        <v>0</v>
      </c>
      <c r="F153" s="11">
        <v>0</v>
      </c>
      <c r="G153" s="12">
        <v>0</v>
      </c>
      <c r="H153" s="11">
        <f t="shared" si="9"/>
        <v>0</v>
      </c>
      <c r="I153" s="11">
        <f t="shared" si="9"/>
        <v>0</v>
      </c>
      <c r="J153" s="11">
        <f t="shared" si="9"/>
        <v>0</v>
      </c>
      <c r="K153" s="11">
        <f t="shared" si="9"/>
        <v>0</v>
      </c>
      <c r="L153" s="16">
        <f t="shared" si="9"/>
        <v>0</v>
      </c>
    </row>
    <row r="154" spans="2:12" x14ac:dyDescent="0.25">
      <c r="B154" s="15" t="s">
        <v>318</v>
      </c>
      <c r="C154" s="11">
        <v>0</v>
      </c>
      <c r="D154" s="11">
        <v>0</v>
      </c>
      <c r="E154" s="11">
        <v>0</v>
      </c>
      <c r="F154" s="11">
        <v>0</v>
      </c>
      <c r="G154" s="12">
        <v>0</v>
      </c>
      <c r="H154" s="11">
        <f t="shared" si="9"/>
        <v>0</v>
      </c>
      <c r="I154" s="11">
        <f t="shared" si="9"/>
        <v>0</v>
      </c>
      <c r="J154" s="11">
        <f t="shared" si="9"/>
        <v>0</v>
      </c>
      <c r="K154" s="11">
        <f t="shared" si="9"/>
        <v>0</v>
      </c>
      <c r="L154" s="16">
        <f t="shared" si="9"/>
        <v>0</v>
      </c>
    </row>
    <row r="155" spans="2:12" x14ac:dyDescent="0.25">
      <c r="B155" s="15" t="s">
        <v>319</v>
      </c>
      <c r="C155" s="11">
        <v>0</v>
      </c>
      <c r="D155" s="11">
        <v>0</v>
      </c>
      <c r="E155" s="11">
        <v>0</v>
      </c>
      <c r="F155" s="11">
        <v>0</v>
      </c>
      <c r="G155" s="12">
        <v>0</v>
      </c>
      <c r="H155" s="11">
        <f t="shared" si="9"/>
        <v>0</v>
      </c>
      <c r="I155" s="11">
        <f t="shared" si="9"/>
        <v>0</v>
      </c>
      <c r="J155" s="11">
        <f t="shared" si="9"/>
        <v>0</v>
      </c>
      <c r="K155" s="11">
        <f t="shared" si="9"/>
        <v>0</v>
      </c>
      <c r="L155" s="16">
        <f t="shared" si="9"/>
        <v>0</v>
      </c>
    </row>
    <row r="156" spans="2:12" x14ac:dyDescent="0.25">
      <c r="B156" s="26" t="s">
        <v>320</v>
      </c>
      <c r="C156" s="27">
        <v>988023167000</v>
      </c>
      <c r="D156" s="27">
        <v>1083994144000</v>
      </c>
      <c r="E156" s="27">
        <v>1305473339000</v>
      </c>
      <c r="F156" s="27">
        <v>1465088857000</v>
      </c>
      <c r="G156" s="28">
        <v>1533052514000</v>
      </c>
      <c r="H156" s="27">
        <f>H101+H132</f>
        <v>1659703995872.1953</v>
      </c>
      <c r="I156" s="27">
        <f>I101+I132</f>
        <v>1892355273860.7805</v>
      </c>
      <c r="J156" s="27">
        <f>J101+J132</f>
        <v>2076681149325.5015</v>
      </c>
      <c r="K156" s="27">
        <f>K101+K132</f>
        <v>2415194234611.3672</v>
      </c>
      <c r="L156" s="29">
        <f>L101+L132</f>
        <v>2748715827532.4365</v>
      </c>
    </row>
    <row r="157" spans="2:12" x14ac:dyDescent="0.25">
      <c r="C157" s="2">
        <v>0</v>
      </c>
      <c r="D157" s="2">
        <v>0</v>
      </c>
      <c r="E157" s="2">
        <v>0</v>
      </c>
      <c r="F157" s="2">
        <v>0</v>
      </c>
      <c r="G157" s="30">
        <v>0</v>
      </c>
      <c r="H157" s="38">
        <f>H156-H98</f>
        <v>0</v>
      </c>
      <c r="I157" s="38">
        <f t="shared" ref="I157:L157" si="10">I156-I98</f>
        <v>0</v>
      </c>
      <c r="J157" s="38">
        <f t="shared" si="10"/>
        <v>0</v>
      </c>
      <c r="K157" s="38">
        <f t="shared" si="10"/>
        <v>0</v>
      </c>
      <c r="L157" s="38">
        <f t="shared" si="10"/>
        <v>0</v>
      </c>
    </row>
    <row r="158" spans="2:12" hidden="1" x14ac:dyDescent="0.25">
      <c r="B158" t="s">
        <v>6</v>
      </c>
      <c r="C158" s="2">
        <v>0</v>
      </c>
      <c r="D158" s="2">
        <v>0</v>
      </c>
      <c r="E158" s="2">
        <v>0</v>
      </c>
      <c r="F158" s="2">
        <v>0</v>
      </c>
      <c r="G158" s="30">
        <v>0</v>
      </c>
      <c r="H158" s="2">
        <f t="shared" ref="H158:L158" si="11">H98-H156</f>
        <v>0</v>
      </c>
      <c r="I158" s="2">
        <f t="shared" si="11"/>
        <v>0</v>
      </c>
      <c r="J158" s="2">
        <f t="shared" si="11"/>
        <v>0</v>
      </c>
      <c r="K158" s="2">
        <f t="shared" si="11"/>
        <v>0</v>
      </c>
      <c r="L158" s="2">
        <f t="shared" si="11"/>
        <v>0</v>
      </c>
    </row>
    <row r="159" spans="2:12" hidden="1" x14ac:dyDescent="0.25">
      <c r="B159" t="s">
        <v>7</v>
      </c>
      <c r="C159" s="2"/>
      <c r="D159" s="2"/>
      <c r="E159" s="2"/>
      <c r="F159" s="2"/>
      <c r="H159" s="2"/>
      <c r="I159" s="2"/>
      <c r="J159" s="2"/>
      <c r="K159" s="2"/>
      <c r="L159" s="2"/>
    </row>
    <row r="160" spans="2:12" hidden="1" x14ac:dyDescent="0.25">
      <c r="C160" s="2"/>
      <c r="D160" s="2"/>
      <c r="E160" s="2"/>
      <c r="F160" s="2"/>
      <c r="H160" s="2"/>
      <c r="I160" s="2"/>
      <c r="J160" s="2"/>
      <c r="K160" s="2"/>
      <c r="L160" s="2"/>
    </row>
    <row r="161" spans="1:12" hidden="1" x14ac:dyDescent="0.25">
      <c r="B161" t="s">
        <v>204</v>
      </c>
      <c r="C161" s="2"/>
      <c r="D161" s="2"/>
      <c r="E161" s="2"/>
      <c r="F161" s="2"/>
      <c r="H161" s="2"/>
      <c r="I161" s="2"/>
      <c r="J161" s="2"/>
      <c r="K161" s="2"/>
      <c r="L161" s="2"/>
    </row>
    <row r="162" spans="1:12" hidden="1" x14ac:dyDescent="0.25">
      <c r="B162" t="s">
        <v>205</v>
      </c>
      <c r="C162" s="2"/>
      <c r="D162" s="2">
        <v>-122935689000</v>
      </c>
      <c r="E162" s="2">
        <v>-236280850000</v>
      </c>
      <c r="F162" s="2">
        <v>-152481177000</v>
      </c>
      <c r="G162" s="30">
        <v>-66849741000</v>
      </c>
      <c r="H162" s="2">
        <f t="shared" ref="H162:L177" si="12">-(H33-G33)</f>
        <v>-150733693186.22852</v>
      </c>
      <c r="I162" s="2">
        <f t="shared" si="12"/>
        <v>-267751794253.39844</v>
      </c>
      <c r="J162" s="2">
        <f t="shared" si="12"/>
        <v>-204204377493.33374</v>
      </c>
      <c r="K162" s="2">
        <f t="shared" si="12"/>
        <v>-364772216394.99048</v>
      </c>
      <c r="L162" s="2">
        <f t="shared" si="12"/>
        <v>-336322844443.22607</v>
      </c>
    </row>
    <row r="163" spans="1:12" hidden="1" x14ac:dyDescent="0.25">
      <c r="B163" t="s">
        <v>206</v>
      </c>
      <c r="C163" s="2"/>
      <c r="D163" s="2">
        <v>42844522000</v>
      </c>
      <c r="E163" s="2">
        <v>-66411885000</v>
      </c>
      <c r="F163" s="2">
        <v>79222976000</v>
      </c>
      <c r="G163" s="30">
        <v>-18858749000</v>
      </c>
      <c r="H163" s="2">
        <f t="shared" si="12"/>
        <v>-299223835654.44354</v>
      </c>
      <c r="I163" s="2">
        <f t="shared" si="12"/>
        <v>47248498829.971313</v>
      </c>
      <c r="J163" s="2">
        <f t="shared" si="12"/>
        <v>-242611253944.01715</v>
      </c>
      <c r="K163" s="2">
        <f t="shared" si="12"/>
        <v>109140855044.06244</v>
      </c>
      <c r="L163" s="2">
        <f t="shared" si="12"/>
        <v>-157079372366.21368</v>
      </c>
    </row>
    <row r="164" spans="1:12" hidden="1" x14ac:dyDescent="0.25">
      <c r="B164" t="s">
        <v>207</v>
      </c>
      <c r="C164" s="2"/>
      <c r="D164" s="2">
        <v>-17191034000</v>
      </c>
      <c r="E164" s="2">
        <v>-16411885000</v>
      </c>
      <c r="F164" s="2">
        <v>9222976000</v>
      </c>
      <c r="G164" s="30">
        <v>-18858749000</v>
      </c>
      <c r="H164" s="2">
        <f t="shared" si="12"/>
        <v>98367152000</v>
      </c>
      <c r="I164" s="2">
        <f t="shared" si="12"/>
        <v>0</v>
      </c>
      <c r="J164" s="2">
        <f t="shared" si="12"/>
        <v>0</v>
      </c>
      <c r="K164" s="2">
        <f t="shared" si="12"/>
        <v>0</v>
      </c>
      <c r="L164" s="2">
        <f t="shared" si="12"/>
        <v>0</v>
      </c>
    </row>
    <row r="165" spans="1:12" hidden="1" x14ac:dyDescent="0.25">
      <c r="B165" t="s">
        <v>208</v>
      </c>
      <c r="C165" s="2"/>
      <c r="D165" s="2">
        <v>60035556000</v>
      </c>
      <c r="E165" s="2">
        <v>-50000000000</v>
      </c>
      <c r="F165" s="2">
        <v>70000000000</v>
      </c>
      <c r="G165" s="30">
        <v>0</v>
      </c>
      <c r="H165" s="2">
        <f t="shared" si="12"/>
        <v>0</v>
      </c>
      <c r="I165" s="2">
        <f t="shared" si="12"/>
        <v>0</v>
      </c>
      <c r="J165" s="2">
        <f t="shared" si="12"/>
        <v>0</v>
      </c>
      <c r="K165" s="2">
        <f t="shared" si="12"/>
        <v>0</v>
      </c>
      <c r="L165" s="2">
        <f t="shared" si="12"/>
        <v>0</v>
      </c>
    </row>
    <row r="166" spans="1:12" hidden="1" x14ac:dyDescent="0.25">
      <c r="A166" t="s">
        <v>8</v>
      </c>
      <c r="B166" t="s">
        <v>209</v>
      </c>
      <c r="C166" s="2"/>
      <c r="D166" s="2">
        <v>-115000000000</v>
      </c>
      <c r="E166" s="2">
        <v>-155000000000</v>
      </c>
      <c r="F166" s="2">
        <v>-20000000000</v>
      </c>
      <c r="G166" s="30">
        <v>30000000000</v>
      </c>
      <c r="H166" s="2">
        <f t="shared" si="12"/>
        <v>0</v>
      </c>
      <c r="I166" s="2">
        <f t="shared" si="12"/>
        <v>0</v>
      </c>
      <c r="J166" s="2">
        <f t="shared" si="12"/>
        <v>0</v>
      </c>
      <c r="K166" s="2">
        <f t="shared" si="12"/>
        <v>0</v>
      </c>
      <c r="L166" s="2">
        <f t="shared" si="12"/>
        <v>0</v>
      </c>
    </row>
    <row r="167" spans="1:12" hidden="1" x14ac:dyDescent="0.25">
      <c r="B167" t="s">
        <v>210</v>
      </c>
      <c r="C167" s="2"/>
      <c r="D167" s="2">
        <v>0</v>
      </c>
      <c r="E167" s="2">
        <v>0</v>
      </c>
      <c r="F167" s="2">
        <v>0</v>
      </c>
      <c r="G167" s="30">
        <v>0</v>
      </c>
      <c r="H167" s="2">
        <f t="shared" si="12"/>
        <v>0</v>
      </c>
      <c r="I167" s="2">
        <f t="shared" si="12"/>
        <v>0</v>
      </c>
      <c r="J167" s="2">
        <f t="shared" si="12"/>
        <v>0</v>
      </c>
      <c r="K167" s="2">
        <f t="shared" si="12"/>
        <v>0</v>
      </c>
      <c r="L167" s="2">
        <f t="shared" si="12"/>
        <v>0</v>
      </c>
    </row>
    <row r="168" spans="1:12" hidden="1" x14ac:dyDescent="0.25">
      <c r="B168" t="s">
        <v>211</v>
      </c>
      <c r="C168" s="2"/>
      <c r="D168" s="2">
        <v>0</v>
      </c>
      <c r="E168" s="2">
        <v>0</v>
      </c>
      <c r="F168" s="2">
        <v>0</v>
      </c>
      <c r="G168" s="30">
        <v>0</v>
      </c>
      <c r="H168" s="2">
        <f t="shared" si="12"/>
        <v>0</v>
      </c>
      <c r="I168" s="2">
        <f t="shared" si="12"/>
        <v>0</v>
      </c>
      <c r="J168" s="2">
        <f t="shared" si="12"/>
        <v>0</v>
      </c>
      <c r="K168" s="2">
        <f t="shared" si="12"/>
        <v>0</v>
      </c>
      <c r="L168" s="2">
        <f t="shared" si="12"/>
        <v>0</v>
      </c>
    </row>
    <row r="169" spans="1:12" hidden="1" x14ac:dyDescent="0.25">
      <c r="B169" t="s">
        <v>212</v>
      </c>
      <c r="C169" s="2"/>
      <c r="D169" s="2">
        <v>-115000000000</v>
      </c>
      <c r="E169" s="2">
        <v>-155000000000</v>
      </c>
      <c r="F169" s="2">
        <v>-20000000000</v>
      </c>
      <c r="G169" s="30">
        <v>30000000000</v>
      </c>
      <c r="H169" s="2">
        <f t="shared" si="12"/>
        <v>0</v>
      </c>
      <c r="I169" s="2">
        <f t="shared" si="12"/>
        <v>0</v>
      </c>
      <c r="J169" s="2">
        <f t="shared" si="12"/>
        <v>0</v>
      </c>
      <c r="K169" s="2">
        <f t="shared" si="12"/>
        <v>0</v>
      </c>
      <c r="L169" s="2">
        <f t="shared" si="12"/>
        <v>0</v>
      </c>
    </row>
    <row r="170" spans="1:12" hidden="1" x14ac:dyDescent="0.25">
      <c r="A170" t="s">
        <v>9</v>
      </c>
      <c r="B170" t="s">
        <v>213</v>
      </c>
      <c r="C170" s="2"/>
      <c r="D170" s="2">
        <v>-5444198000</v>
      </c>
      <c r="E170" s="2">
        <v>-89243879000</v>
      </c>
      <c r="F170" s="2">
        <v>-184835570000</v>
      </c>
      <c r="G170" s="30">
        <v>-131784091000</v>
      </c>
      <c r="H170" s="2">
        <f t="shared" si="12"/>
        <v>168678457430.41547</v>
      </c>
      <c r="I170" s="2">
        <f t="shared" si="12"/>
        <v>-289169255713.03546</v>
      </c>
      <c r="J170" s="2">
        <f t="shared" si="12"/>
        <v>87209948525.55957</v>
      </c>
      <c r="K170" s="2">
        <f t="shared" si="12"/>
        <v>-405203185503.36633</v>
      </c>
      <c r="L170" s="2">
        <f t="shared" si="12"/>
        <v>-71712532489.369629</v>
      </c>
    </row>
    <row r="171" spans="1:12" hidden="1" x14ac:dyDescent="0.25">
      <c r="B171" t="s">
        <v>214</v>
      </c>
      <c r="C171" s="2"/>
      <c r="D171" s="2">
        <v>-10908672000</v>
      </c>
      <c r="E171" s="2">
        <v>-79646760000</v>
      </c>
      <c r="F171" s="2">
        <v>-174562787000</v>
      </c>
      <c r="G171" s="30">
        <v>-144844076000</v>
      </c>
      <c r="H171" s="2">
        <f t="shared" si="12"/>
        <v>176230490656.09351</v>
      </c>
      <c r="I171" s="2">
        <f t="shared" si="12"/>
        <v>-289174355733.03125</v>
      </c>
      <c r="J171" s="2">
        <f t="shared" si="12"/>
        <v>93401053959.256104</v>
      </c>
      <c r="K171" s="2">
        <f t="shared" si="12"/>
        <v>-401370378041.99756</v>
      </c>
      <c r="L171" s="2">
        <f t="shared" si="12"/>
        <v>-60284707113.351074</v>
      </c>
    </row>
    <row r="172" spans="1:12" hidden="1" x14ac:dyDescent="0.25">
      <c r="B172" t="s">
        <v>215</v>
      </c>
      <c r="C172" s="2"/>
      <c r="D172" s="2">
        <v>240818000</v>
      </c>
      <c r="E172" s="2">
        <v>-2256075000</v>
      </c>
      <c r="F172" s="2">
        <v>-5928696000</v>
      </c>
      <c r="G172" s="30">
        <v>2392901000</v>
      </c>
      <c r="H172" s="2">
        <f t="shared" si="12"/>
        <v>-1346847386.487772</v>
      </c>
      <c r="I172" s="2">
        <f t="shared" si="12"/>
        <v>-93474827.383422852</v>
      </c>
      <c r="J172" s="2">
        <f t="shared" si="12"/>
        <v>-2403133866.1086349</v>
      </c>
      <c r="K172" s="2">
        <f t="shared" si="12"/>
        <v>-1524260139.4454079</v>
      </c>
      <c r="L172" s="2">
        <f t="shared" si="12"/>
        <v>-4363019119.5288811</v>
      </c>
    </row>
    <row r="173" spans="1:12" hidden="1" x14ac:dyDescent="0.25">
      <c r="B173" t="s">
        <v>216</v>
      </c>
      <c r="C173" s="2"/>
      <c r="D173" s="2">
        <v>0</v>
      </c>
      <c r="E173" s="2">
        <v>0</v>
      </c>
      <c r="F173" s="2">
        <v>0</v>
      </c>
      <c r="G173" s="30">
        <v>0</v>
      </c>
      <c r="H173" s="2">
        <f t="shared" si="12"/>
        <v>0</v>
      </c>
      <c r="I173" s="2">
        <f t="shared" si="12"/>
        <v>0</v>
      </c>
      <c r="J173" s="2">
        <f t="shared" si="12"/>
        <v>0</v>
      </c>
      <c r="K173" s="2">
        <f t="shared" si="12"/>
        <v>0</v>
      </c>
      <c r="L173" s="2">
        <f t="shared" si="12"/>
        <v>0</v>
      </c>
    </row>
    <row r="174" spans="1:12" hidden="1" x14ac:dyDescent="0.25">
      <c r="B174" t="s">
        <v>217</v>
      </c>
      <c r="C174" s="2"/>
      <c r="D174" s="2">
        <v>0</v>
      </c>
      <c r="E174" s="2">
        <v>0</v>
      </c>
      <c r="F174" s="2">
        <v>0</v>
      </c>
      <c r="G174" s="30">
        <v>0</v>
      </c>
      <c r="H174" s="2">
        <f t="shared" si="12"/>
        <v>0</v>
      </c>
      <c r="I174" s="2">
        <f t="shared" si="12"/>
        <v>0</v>
      </c>
      <c r="J174" s="2">
        <f t="shared" si="12"/>
        <v>0</v>
      </c>
      <c r="K174" s="2">
        <f t="shared" si="12"/>
        <v>0</v>
      </c>
      <c r="L174" s="2">
        <f t="shared" si="12"/>
        <v>0</v>
      </c>
    </row>
    <row r="175" spans="1:12" hidden="1" x14ac:dyDescent="0.25">
      <c r="B175" t="s">
        <v>218</v>
      </c>
      <c r="C175" s="2"/>
      <c r="D175" s="2">
        <v>0</v>
      </c>
      <c r="E175" s="2">
        <v>0</v>
      </c>
      <c r="F175" s="2">
        <v>0</v>
      </c>
      <c r="G175" s="30">
        <v>0</v>
      </c>
      <c r="H175" s="2">
        <f t="shared" si="12"/>
        <v>0</v>
      </c>
      <c r="I175" s="2">
        <f t="shared" si="12"/>
        <v>0</v>
      </c>
      <c r="J175" s="2">
        <f t="shared" si="12"/>
        <v>0</v>
      </c>
      <c r="K175" s="2">
        <f t="shared" si="12"/>
        <v>0</v>
      </c>
      <c r="L175" s="2">
        <f t="shared" si="12"/>
        <v>0</v>
      </c>
    </row>
    <row r="176" spans="1:12" hidden="1" x14ac:dyDescent="0.25">
      <c r="B176" t="s">
        <v>219</v>
      </c>
      <c r="C176" s="2"/>
      <c r="D176" s="2">
        <v>4571675000</v>
      </c>
      <c r="E176" s="2">
        <v>-4484760000</v>
      </c>
      <c r="F176" s="2">
        <v>-5840374000</v>
      </c>
      <c r="G176" s="30">
        <v>10778364000</v>
      </c>
      <c r="H176" s="2">
        <f t="shared" si="12"/>
        <v>-5631433124.3509216</v>
      </c>
      <c r="I176" s="2">
        <f t="shared" si="12"/>
        <v>-1826236079.9444847</v>
      </c>
      <c r="J176" s="2">
        <f t="shared" si="12"/>
        <v>-3165539508.9018707</v>
      </c>
      <c r="K176" s="2">
        <f t="shared" si="12"/>
        <v>-4979683409.7442474</v>
      </c>
      <c r="L176" s="2">
        <f t="shared" si="12"/>
        <v>-7464692061.1954079</v>
      </c>
    </row>
    <row r="177" spans="1:12" hidden="1" x14ac:dyDescent="0.25">
      <c r="B177" t="s">
        <v>220</v>
      </c>
      <c r="C177" s="2"/>
      <c r="D177" s="2">
        <v>651981000</v>
      </c>
      <c r="E177" s="2">
        <v>-2856284000</v>
      </c>
      <c r="F177" s="2">
        <v>1496288000</v>
      </c>
      <c r="G177" s="30">
        <v>-103357000</v>
      </c>
      <c r="H177" s="2">
        <f t="shared" si="12"/>
        <v>-577813797.45303154</v>
      </c>
      <c r="I177" s="2">
        <f t="shared" si="12"/>
        <v>1925167475.6417675</v>
      </c>
      <c r="J177" s="2">
        <f t="shared" si="12"/>
        <v>-621814029.17700768</v>
      </c>
      <c r="K177" s="2">
        <f t="shared" si="12"/>
        <v>2672108304.8106232</v>
      </c>
      <c r="L177" s="2">
        <f t="shared" si="12"/>
        <v>401343186.6010952</v>
      </c>
    </row>
    <row r="178" spans="1:12" hidden="1" x14ac:dyDescent="0.25">
      <c r="B178" t="s">
        <v>221</v>
      </c>
      <c r="C178" s="2"/>
      <c r="D178" s="2">
        <v>0</v>
      </c>
      <c r="E178" s="2">
        <v>0</v>
      </c>
      <c r="F178" s="2">
        <v>0</v>
      </c>
      <c r="G178" s="30">
        <v>-7924000</v>
      </c>
      <c r="H178" s="2">
        <f t="shared" ref="H178:L187" si="13">-(H49-G49)</f>
        <v>4061082.6137295878</v>
      </c>
      <c r="I178" s="2">
        <f t="shared" si="13"/>
        <v>-356548.31809125748</v>
      </c>
      <c r="J178" s="2">
        <f t="shared" si="13"/>
        <v>-618029.5089694513</v>
      </c>
      <c r="K178" s="2">
        <f t="shared" si="13"/>
        <v>-972216.98983475193</v>
      </c>
      <c r="L178" s="2">
        <f t="shared" si="13"/>
        <v>-1457381.8953184234</v>
      </c>
    </row>
    <row r="179" spans="1:12" hidden="1" x14ac:dyDescent="0.25">
      <c r="A179" t="s">
        <v>9</v>
      </c>
      <c r="B179" t="s">
        <v>222</v>
      </c>
      <c r="C179" s="2"/>
      <c r="D179" s="2">
        <v>-42975137000</v>
      </c>
      <c r="E179" s="2">
        <v>75429882000</v>
      </c>
      <c r="F179" s="2">
        <v>-21601139000</v>
      </c>
      <c r="G179" s="30">
        <v>47350982000</v>
      </c>
      <c r="H179" s="2">
        <f t="shared" si="13"/>
        <v>-16842273687.034912</v>
      </c>
      <c r="I179" s="2">
        <f t="shared" si="13"/>
        <v>-25165487418.191345</v>
      </c>
      <c r="J179" s="2">
        <f t="shared" si="13"/>
        <v>-47649428966.083984</v>
      </c>
      <c r="K179" s="2">
        <f t="shared" si="13"/>
        <v>-66895099725.164673</v>
      </c>
      <c r="L179" s="2">
        <f t="shared" si="13"/>
        <v>-104810521620.51978</v>
      </c>
    </row>
    <row r="180" spans="1:12" hidden="1" x14ac:dyDescent="0.25">
      <c r="B180" t="s">
        <v>223</v>
      </c>
      <c r="C180" s="2"/>
      <c r="D180" s="2">
        <v>-42397856000</v>
      </c>
      <c r="E180" s="2">
        <v>75429882000</v>
      </c>
      <c r="F180" s="2">
        <v>-21601139000</v>
      </c>
      <c r="G180" s="30">
        <v>47350982000</v>
      </c>
      <c r="H180" s="2">
        <f t="shared" si="13"/>
        <v>-16842273687.034912</v>
      </c>
      <c r="I180" s="2">
        <f t="shared" si="13"/>
        <v>-25165487418.191345</v>
      </c>
      <c r="J180" s="2">
        <f t="shared" si="13"/>
        <v>-47649428966.083984</v>
      </c>
      <c r="K180" s="2">
        <f t="shared" si="13"/>
        <v>-66895099725.164673</v>
      </c>
      <c r="L180" s="2">
        <f t="shared" si="13"/>
        <v>-104810521620.51978</v>
      </c>
    </row>
    <row r="181" spans="1:12" hidden="1" x14ac:dyDescent="0.25">
      <c r="B181" t="s">
        <v>224</v>
      </c>
      <c r="C181" s="2"/>
      <c r="D181" s="2">
        <v>-577281000</v>
      </c>
      <c r="E181" s="2">
        <v>0</v>
      </c>
      <c r="F181" s="2">
        <v>0</v>
      </c>
      <c r="G181" s="30">
        <v>0</v>
      </c>
      <c r="H181" s="2">
        <f t="shared" si="13"/>
        <v>0</v>
      </c>
      <c r="I181" s="2">
        <f t="shared" si="13"/>
        <v>0</v>
      </c>
      <c r="J181" s="2">
        <f t="shared" si="13"/>
        <v>0</v>
      </c>
      <c r="K181" s="2">
        <f t="shared" si="13"/>
        <v>0</v>
      </c>
      <c r="L181" s="2">
        <f t="shared" si="13"/>
        <v>0</v>
      </c>
    </row>
    <row r="182" spans="1:12" hidden="1" x14ac:dyDescent="0.25">
      <c r="A182" t="s">
        <v>8</v>
      </c>
      <c r="B182" t="s">
        <v>225</v>
      </c>
      <c r="C182" s="2"/>
      <c r="D182" s="2">
        <v>-2360875000</v>
      </c>
      <c r="E182" s="2">
        <v>-1054968000</v>
      </c>
      <c r="F182" s="2">
        <v>-5267444000</v>
      </c>
      <c r="G182" s="30">
        <v>6442117000</v>
      </c>
      <c r="H182" s="2">
        <f t="shared" si="13"/>
        <v>-3346041275.165534</v>
      </c>
      <c r="I182" s="2">
        <f t="shared" si="13"/>
        <v>-665549952.14276123</v>
      </c>
      <c r="J182" s="2">
        <f t="shared" si="13"/>
        <v>-1153643108.7922106</v>
      </c>
      <c r="K182" s="2">
        <f t="shared" si="13"/>
        <v>-1814786210.5222015</v>
      </c>
      <c r="L182" s="2">
        <f t="shared" si="13"/>
        <v>-2720417967.1228867</v>
      </c>
    </row>
    <row r="183" spans="1:12" hidden="1" x14ac:dyDescent="0.25">
      <c r="B183" t="s">
        <v>226</v>
      </c>
      <c r="C183" s="2"/>
      <c r="D183" s="2">
        <v>-2362196000</v>
      </c>
      <c r="E183" s="2">
        <v>-813106000</v>
      </c>
      <c r="F183" s="2">
        <v>-3793981000</v>
      </c>
      <c r="G183" s="30">
        <v>4751411000</v>
      </c>
      <c r="H183" s="2">
        <f t="shared" si="13"/>
        <v>-2472152749.0781603</v>
      </c>
      <c r="I183" s="2">
        <f t="shared" si="13"/>
        <v>-582617464.80626774</v>
      </c>
      <c r="J183" s="2">
        <f t="shared" si="13"/>
        <v>-1009890574.2112741</v>
      </c>
      <c r="K183" s="2">
        <f t="shared" si="13"/>
        <v>-1588650315.0300322</v>
      </c>
      <c r="L183" s="2">
        <f t="shared" si="13"/>
        <v>-2381433601.0628719</v>
      </c>
    </row>
    <row r="184" spans="1:12" hidden="1" x14ac:dyDescent="0.25">
      <c r="B184" t="s">
        <v>227</v>
      </c>
      <c r="C184" s="2"/>
      <c r="D184" s="2">
        <v>0</v>
      </c>
      <c r="E184" s="2">
        <v>0</v>
      </c>
      <c r="F184" s="2">
        <v>0</v>
      </c>
      <c r="G184" s="30">
        <v>0</v>
      </c>
      <c r="H184" s="2">
        <f t="shared" si="13"/>
        <v>0</v>
      </c>
      <c r="I184" s="2">
        <f t="shared" si="13"/>
        <v>0</v>
      </c>
      <c r="J184" s="2">
        <f t="shared" si="13"/>
        <v>0</v>
      </c>
      <c r="K184" s="2">
        <f t="shared" si="13"/>
        <v>0</v>
      </c>
      <c r="L184" s="2">
        <f t="shared" si="13"/>
        <v>0</v>
      </c>
    </row>
    <row r="185" spans="1:12" hidden="1" x14ac:dyDescent="0.25">
      <c r="B185" t="s">
        <v>228</v>
      </c>
      <c r="C185" s="2"/>
      <c r="D185" s="2">
        <v>1321000</v>
      </c>
      <c r="E185" s="2">
        <v>-241862000</v>
      </c>
      <c r="F185" s="2">
        <v>-1473464000</v>
      </c>
      <c r="G185" s="30">
        <v>1690707000</v>
      </c>
      <c r="H185" s="2">
        <f t="shared" si="13"/>
        <v>-873888526.08737385</v>
      </c>
      <c r="I185" s="2">
        <f t="shared" si="13"/>
        <v>-82932487.336493015</v>
      </c>
      <c r="J185" s="2">
        <f t="shared" si="13"/>
        <v>-143752534.58093584</v>
      </c>
      <c r="K185" s="2">
        <f t="shared" si="13"/>
        <v>-226135895.49217129</v>
      </c>
      <c r="L185" s="2">
        <f t="shared" si="13"/>
        <v>-338984366.06001472</v>
      </c>
    </row>
    <row r="186" spans="1:12" hidden="1" x14ac:dyDescent="0.25">
      <c r="B186" t="s">
        <v>229</v>
      </c>
      <c r="C186" s="2"/>
      <c r="D186" s="2">
        <v>0</v>
      </c>
      <c r="E186" s="2">
        <v>0</v>
      </c>
      <c r="F186" s="2">
        <v>0</v>
      </c>
      <c r="G186" s="30">
        <v>0</v>
      </c>
      <c r="H186" s="2">
        <f t="shared" si="13"/>
        <v>0</v>
      </c>
      <c r="I186" s="2">
        <f t="shared" si="13"/>
        <v>0</v>
      </c>
      <c r="J186" s="2">
        <f t="shared" si="13"/>
        <v>0</v>
      </c>
      <c r="K186" s="2">
        <f t="shared" si="13"/>
        <v>0</v>
      </c>
      <c r="L186" s="2">
        <f t="shared" si="13"/>
        <v>0</v>
      </c>
    </row>
    <row r="187" spans="1:12" hidden="1" x14ac:dyDescent="0.25">
      <c r="B187" t="s">
        <v>230</v>
      </c>
      <c r="C187" s="2"/>
      <c r="D187" s="2">
        <v>0</v>
      </c>
      <c r="E187" s="2">
        <v>0</v>
      </c>
      <c r="F187" s="2">
        <v>0</v>
      </c>
      <c r="G187" s="30">
        <v>0</v>
      </c>
      <c r="H187" s="2">
        <f t="shared" si="13"/>
        <v>0</v>
      </c>
      <c r="I187" s="2">
        <f t="shared" si="13"/>
        <v>0</v>
      </c>
      <c r="J187" s="2">
        <f t="shared" si="13"/>
        <v>0</v>
      </c>
      <c r="K187" s="2">
        <f t="shared" si="13"/>
        <v>0</v>
      </c>
      <c r="L187" s="2">
        <f t="shared" si="13"/>
        <v>0</v>
      </c>
    </row>
    <row r="188" spans="1:12" hidden="1" x14ac:dyDescent="0.25">
      <c r="B188" t="s">
        <v>231</v>
      </c>
      <c r="C188" s="2"/>
      <c r="D188" s="2">
        <v>26964711000</v>
      </c>
      <c r="E188" s="2">
        <v>14801655000</v>
      </c>
      <c r="F188" s="2">
        <v>-7134340000</v>
      </c>
      <c r="G188" s="30">
        <v>-1113917000</v>
      </c>
      <c r="H188" s="2">
        <f t="shared" ref="H188:L203" si="14">-(H60-G60)</f>
        <v>24082211314.033173</v>
      </c>
      <c r="I188" s="2">
        <f t="shared" si="14"/>
        <v>35100516264.813171</v>
      </c>
      <c r="J188" s="2">
        <f t="shared" si="14"/>
        <v>19878502028.612885</v>
      </c>
      <c r="K188" s="2">
        <f t="shared" si="14"/>
        <v>26259131109.124969</v>
      </c>
      <c r="L188" s="2">
        <f t="shared" si="14"/>
        <v>2801251522.1569824</v>
      </c>
    </row>
    <row r="189" spans="1:12" hidden="1" x14ac:dyDescent="0.25">
      <c r="A189" t="s">
        <v>8</v>
      </c>
      <c r="B189" t="s">
        <v>232</v>
      </c>
      <c r="C189" s="2"/>
      <c r="D189" s="2">
        <v>0</v>
      </c>
      <c r="E189" s="2">
        <v>0</v>
      </c>
      <c r="F189" s="2">
        <v>0</v>
      </c>
      <c r="G189" s="30">
        <v>0</v>
      </c>
      <c r="H189" s="2">
        <f t="shared" si="14"/>
        <v>0</v>
      </c>
      <c r="I189" s="2">
        <f t="shared" si="14"/>
        <v>0</v>
      </c>
      <c r="J189" s="2">
        <f t="shared" si="14"/>
        <v>0</v>
      </c>
      <c r="K189" s="2">
        <f t="shared" si="14"/>
        <v>0</v>
      </c>
      <c r="L189" s="2">
        <f t="shared" si="14"/>
        <v>0</v>
      </c>
    </row>
    <row r="190" spans="1:12" hidden="1" x14ac:dyDescent="0.25">
      <c r="B190" t="s">
        <v>233</v>
      </c>
      <c r="C190" s="2"/>
      <c r="D190" s="2">
        <v>0</v>
      </c>
      <c r="E190" s="2">
        <v>0</v>
      </c>
      <c r="F190" s="2">
        <v>0</v>
      </c>
      <c r="G190" s="30">
        <v>0</v>
      </c>
      <c r="H190" s="2">
        <f t="shared" si="14"/>
        <v>0</v>
      </c>
      <c r="I190" s="2">
        <f t="shared" si="14"/>
        <v>0</v>
      </c>
      <c r="J190" s="2">
        <f t="shared" si="14"/>
        <v>0</v>
      </c>
      <c r="K190" s="2">
        <f t="shared" si="14"/>
        <v>0</v>
      </c>
      <c r="L190" s="2">
        <f t="shared" si="14"/>
        <v>0</v>
      </c>
    </row>
    <row r="191" spans="1:12" hidden="1" x14ac:dyDescent="0.25">
      <c r="B191" t="s">
        <v>234</v>
      </c>
      <c r="C191" s="2"/>
      <c r="D191" s="2">
        <v>0</v>
      </c>
      <c r="E191" s="2">
        <v>0</v>
      </c>
      <c r="F191" s="2">
        <v>0</v>
      </c>
      <c r="G191" s="30">
        <v>0</v>
      </c>
      <c r="H191" s="2">
        <f t="shared" si="14"/>
        <v>0</v>
      </c>
      <c r="I191" s="2">
        <f t="shared" si="14"/>
        <v>0</v>
      </c>
      <c r="J191" s="2">
        <f t="shared" si="14"/>
        <v>0</v>
      </c>
      <c r="K191" s="2">
        <f t="shared" si="14"/>
        <v>0</v>
      </c>
      <c r="L191" s="2">
        <f t="shared" si="14"/>
        <v>0</v>
      </c>
    </row>
    <row r="192" spans="1:12" hidden="1" x14ac:dyDescent="0.25">
      <c r="B192" t="s">
        <v>235</v>
      </c>
      <c r="C192" s="2"/>
      <c r="D192" s="2">
        <v>0</v>
      </c>
      <c r="E192" s="2">
        <v>0</v>
      </c>
      <c r="F192" s="2">
        <v>0</v>
      </c>
      <c r="G192" s="30">
        <v>0</v>
      </c>
      <c r="H192" s="2">
        <f t="shared" si="14"/>
        <v>0</v>
      </c>
      <c r="I192" s="2">
        <f t="shared" si="14"/>
        <v>0</v>
      </c>
      <c r="J192" s="2">
        <f t="shared" si="14"/>
        <v>0</v>
      </c>
      <c r="K192" s="2">
        <f t="shared" si="14"/>
        <v>0</v>
      </c>
      <c r="L192" s="2">
        <f t="shared" si="14"/>
        <v>0</v>
      </c>
    </row>
    <row r="193" spans="1:12" hidden="1" x14ac:dyDescent="0.25">
      <c r="B193" t="s">
        <v>236</v>
      </c>
      <c r="C193" s="2"/>
      <c r="D193" s="2">
        <v>0</v>
      </c>
      <c r="E193" s="2">
        <v>0</v>
      </c>
      <c r="F193" s="2">
        <v>0</v>
      </c>
      <c r="G193" s="30">
        <v>0</v>
      </c>
      <c r="H193" s="2">
        <f t="shared" si="14"/>
        <v>0</v>
      </c>
      <c r="I193" s="2">
        <f t="shared" si="14"/>
        <v>0</v>
      </c>
      <c r="J193" s="2">
        <f t="shared" si="14"/>
        <v>0</v>
      </c>
      <c r="K193" s="2">
        <f t="shared" si="14"/>
        <v>0</v>
      </c>
      <c r="L193" s="2">
        <f t="shared" si="14"/>
        <v>0</v>
      </c>
    </row>
    <row r="194" spans="1:12" hidden="1" x14ac:dyDescent="0.25">
      <c r="B194" t="s">
        <v>237</v>
      </c>
      <c r="C194" s="2"/>
      <c r="D194" s="2">
        <v>0</v>
      </c>
      <c r="E194" s="2">
        <v>0</v>
      </c>
      <c r="F194" s="2">
        <v>0</v>
      </c>
      <c r="G194" s="30">
        <v>0</v>
      </c>
      <c r="H194" s="2">
        <f t="shared" si="14"/>
        <v>0</v>
      </c>
      <c r="I194" s="2">
        <f t="shared" si="14"/>
        <v>0</v>
      </c>
      <c r="J194" s="2">
        <f t="shared" si="14"/>
        <v>0</v>
      </c>
      <c r="K194" s="2">
        <f t="shared" si="14"/>
        <v>0</v>
      </c>
      <c r="L194" s="2">
        <f t="shared" si="14"/>
        <v>0</v>
      </c>
    </row>
    <row r="195" spans="1:12" hidden="1" x14ac:dyDescent="0.25">
      <c r="B195" t="s">
        <v>238</v>
      </c>
      <c r="C195" s="2"/>
      <c r="D195" s="2">
        <v>0</v>
      </c>
      <c r="E195" s="2">
        <v>0</v>
      </c>
      <c r="F195" s="2">
        <v>0</v>
      </c>
      <c r="G195" s="30">
        <v>0</v>
      </c>
      <c r="H195" s="2">
        <f t="shared" si="14"/>
        <v>0</v>
      </c>
      <c r="I195" s="2">
        <f t="shared" si="14"/>
        <v>0</v>
      </c>
      <c r="J195" s="2">
        <f t="shared" si="14"/>
        <v>0</v>
      </c>
      <c r="K195" s="2">
        <f t="shared" si="14"/>
        <v>0</v>
      </c>
      <c r="L195" s="2">
        <f t="shared" si="14"/>
        <v>0</v>
      </c>
    </row>
    <row r="196" spans="1:12" hidden="1" x14ac:dyDescent="0.25">
      <c r="B196" t="s">
        <v>239</v>
      </c>
      <c r="C196" s="2"/>
      <c r="D196" s="2">
        <v>0</v>
      </c>
      <c r="E196" s="2">
        <v>0</v>
      </c>
      <c r="F196" s="2">
        <v>0</v>
      </c>
      <c r="G196" s="30">
        <v>0</v>
      </c>
      <c r="H196" s="2">
        <f t="shared" si="14"/>
        <v>0</v>
      </c>
      <c r="I196" s="2">
        <f t="shared" si="14"/>
        <v>0</v>
      </c>
      <c r="J196" s="2">
        <f t="shared" si="14"/>
        <v>0</v>
      </c>
      <c r="K196" s="2">
        <f t="shared" si="14"/>
        <v>0</v>
      </c>
      <c r="L196" s="2">
        <f t="shared" si="14"/>
        <v>0</v>
      </c>
    </row>
    <row r="197" spans="1:12" hidden="1" x14ac:dyDescent="0.25">
      <c r="B197" t="s">
        <v>240</v>
      </c>
      <c r="C197" s="2"/>
      <c r="D197" s="2">
        <v>23537584000</v>
      </c>
      <c r="E197" s="2">
        <v>18157815000</v>
      </c>
      <c r="F197" s="2">
        <v>15282054000</v>
      </c>
      <c r="G197" s="30">
        <v>-14877561000</v>
      </c>
      <c r="H197" s="2">
        <f t="shared" si="14"/>
        <v>36794082114.240662</v>
      </c>
      <c r="I197" s="2">
        <f t="shared" si="14"/>
        <v>22803452947.864075</v>
      </c>
      <c r="J197" s="2">
        <f t="shared" si="14"/>
        <v>33146281184.159058</v>
      </c>
      <c r="K197" s="2">
        <f t="shared" si="14"/>
        <v>18653065006.60968</v>
      </c>
      <c r="L197" s="2">
        <f t="shared" si="14"/>
        <v>24615893478.256042</v>
      </c>
    </row>
    <row r="198" spans="1:12" hidden="1" x14ac:dyDescent="0.25">
      <c r="B198" t="s">
        <v>241</v>
      </c>
      <c r="C198" s="2"/>
      <c r="D198" s="2">
        <v>21725887000</v>
      </c>
      <c r="E198" s="2">
        <v>16910413000</v>
      </c>
      <c r="F198" s="2">
        <v>14745137000</v>
      </c>
      <c r="G198" s="30">
        <v>-14661924000</v>
      </c>
      <c r="H198" s="2">
        <f t="shared" si="14"/>
        <v>36794082114.240662</v>
      </c>
      <c r="I198" s="2">
        <f t="shared" si="14"/>
        <v>22803452947.864075</v>
      </c>
      <c r="J198" s="2">
        <f t="shared" si="14"/>
        <v>33146281184.159058</v>
      </c>
      <c r="K198" s="2">
        <f t="shared" si="14"/>
        <v>18653065006.60968</v>
      </c>
      <c r="L198" s="2">
        <f t="shared" si="14"/>
        <v>24615893478.256042</v>
      </c>
    </row>
    <row r="199" spans="1:12" hidden="1" x14ac:dyDescent="0.25">
      <c r="A199" t="s">
        <v>10</v>
      </c>
      <c r="B199" t="s">
        <v>242</v>
      </c>
      <c r="C199" s="2"/>
      <c r="D199" s="2">
        <v>-5667976000</v>
      </c>
      <c r="E199" s="2">
        <v>-10678434000</v>
      </c>
      <c r="F199" s="2">
        <v>-12360874000</v>
      </c>
      <c r="G199" s="30">
        <v>-33795988000</v>
      </c>
      <c r="H199" s="2">
        <f t="shared" si="14"/>
        <v>-14607646000</v>
      </c>
      <c r="I199" s="2">
        <f t="shared" si="14"/>
        <v>-27319516800.20752</v>
      </c>
      <c r="J199" s="2">
        <f t="shared" si="14"/>
        <v>-15022453483.258362</v>
      </c>
      <c r="K199" s="2">
        <f t="shared" si="14"/>
        <v>-28290232638.804626</v>
      </c>
      <c r="L199" s="2">
        <f t="shared" si="14"/>
        <v>-20684166536.289307</v>
      </c>
    </row>
    <row r="200" spans="1:12" hidden="1" x14ac:dyDescent="0.25">
      <c r="A200" t="s">
        <v>11</v>
      </c>
      <c r="B200" t="s">
        <v>243</v>
      </c>
      <c r="C200" s="2"/>
      <c r="D200" s="2">
        <v>27393864000</v>
      </c>
      <c r="E200" s="2">
        <v>27588846000</v>
      </c>
      <c r="F200" s="2">
        <v>27106013000</v>
      </c>
      <c r="G200" s="30">
        <v>19134063000</v>
      </c>
      <c r="H200" s="2">
        <f t="shared" si="14"/>
        <v>51401728114.240662</v>
      </c>
      <c r="I200" s="2">
        <f t="shared" si="14"/>
        <v>50122969748.071594</v>
      </c>
      <c r="J200" s="2">
        <f t="shared" si="14"/>
        <v>48168734667.417419</v>
      </c>
      <c r="K200" s="2">
        <f t="shared" si="14"/>
        <v>46943297645.414307</v>
      </c>
      <c r="L200" s="2">
        <f t="shared" si="14"/>
        <v>45300060014.545349</v>
      </c>
    </row>
    <row r="201" spans="1:12" hidden="1" x14ac:dyDescent="0.25">
      <c r="B201" t="s">
        <v>244</v>
      </c>
      <c r="C201" s="2"/>
      <c r="D201" s="2">
        <v>0</v>
      </c>
      <c r="E201" s="2">
        <v>0</v>
      </c>
      <c r="F201" s="2">
        <v>0</v>
      </c>
      <c r="G201" s="30">
        <v>0</v>
      </c>
      <c r="H201" s="2">
        <f t="shared" si="14"/>
        <v>0</v>
      </c>
      <c r="I201" s="2">
        <f t="shared" si="14"/>
        <v>0</v>
      </c>
      <c r="J201" s="2">
        <f t="shared" si="14"/>
        <v>0</v>
      </c>
      <c r="K201" s="2">
        <f t="shared" si="14"/>
        <v>0</v>
      </c>
      <c r="L201" s="2">
        <f t="shared" si="14"/>
        <v>0</v>
      </c>
    </row>
    <row r="202" spans="1:12" hidden="1" x14ac:dyDescent="0.25">
      <c r="A202" t="s">
        <v>10</v>
      </c>
      <c r="B202" t="s">
        <v>242</v>
      </c>
      <c r="C202" s="2"/>
      <c r="D202" s="2">
        <v>0</v>
      </c>
      <c r="E202" s="2">
        <v>0</v>
      </c>
      <c r="F202" s="2">
        <v>0</v>
      </c>
      <c r="G202" s="30">
        <v>0</v>
      </c>
      <c r="H202" s="2">
        <f t="shared" si="14"/>
        <v>0</v>
      </c>
      <c r="I202" s="2">
        <f t="shared" si="14"/>
        <v>0</v>
      </c>
      <c r="J202" s="2">
        <f t="shared" si="14"/>
        <v>0</v>
      </c>
      <c r="K202" s="2">
        <f t="shared" si="14"/>
        <v>0</v>
      </c>
      <c r="L202" s="2">
        <f t="shared" si="14"/>
        <v>0</v>
      </c>
    </row>
    <row r="203" spans="1:12" hidden="1" x14ac:dyDescent="0.25">
      <c r="A203" t="s">
        <v>11</v>
      </c>
      <c r="B203" t="s">
        <v>243</v>
      </c>
      <c r="C203" s="2"/>
      <c r="D203" s="2">
        <v>0</v>
      </c>
      <c r="E203" s="2">
        <v>0</v>
      </c>
      <c r="F203" s="2">
        <v>0</v>
      </c>
      <c r="G203" s="30">
        <v>0</v>
      </c>
      <c r="H203" s="2">
        <f t="shared" si="14"/>
        <v>0</v>
      </c>
      <c r="I203" s="2">
        <f t="shared" si="14"/>
        <v>0</v>
      </c>
      <c r="J203" s="2">
        <f t="shared" si="14"/>
        <v>0</v>
      </c>
      <c r="K203" s="2">
        <f t="shared" si="14"/>
        <v>0</v>
      </c>
      <c r="L203" s="2">
        <f t="shared" si="14"/>
        <v>0</v>
      </c>
    </row>
    <row r="204" spans="1:12" hidden="1" x14ac:dyDescent="0.25">
      <c r="B204" t="s">
        <v>245</v>
      </c>
      <c r="C204" s="2"/>
      <c r="D204" s="2">
        <v>1811697000</v>
      </c>
      <c r="E204" s="2">
        <v>1247402000</v>
      </c>
      <c r="F204" s="2">
        <v>536916000</v>
      </c>
      <c r="G204" s="30">
        <v>-215636000</v>
      </c>
      <c r="H204" s="2">
        <f t="shared" ref="H204:L219" si="15">-(H76-G76)</f>
        <v>0</v>
      </c>
      <c r="I204" s="2">
        <f t="shared" si="15"/>
        <v>0</v>
      </c>
      <c r="J204" s="2">
        <f t="shared" si="15"/>
        <v>0</v>
      </c>
      <c r="K204" s="2">
        <f t="shared" si="15"/>
        <v>0</v>
      </c>
      <c r="L204" s="2">
        <f t="shared" si="15"/>
        <v>0</v>
      </c>
    </row>
    <row r="205" spans="1:12" hidden="1" x14ac:dyDescent="0.25">
      <c r="A205" t="s">
        <v>10</v>
      </c>
      <c r="B205" t="s">
        <v>242</v>
      </c>
      <c r="C205" s="2"/>
      <c r="D205" s="2">
        <v>30000000</v>
      </c>
      <c r="E205" s="2">
        <v>0</v>
      </c>
      <c r="F205" s="2">
        <v>-600000000</v>
      </c>
      <c r="G205" s="30">
        <v>-1540960000</v>
      </c>
      <c r="H205" s="2">
        <f t="shared" si="15"/>
        <v>0</v>
      </c>
      <c r="I205" s="2">
        <f t="shared" si="15"/>
        <v>0</v>
      </c>
      <c r="J205" s="2">
        <f t="shared" si="15"/>
        <v>0</v>
      </c>
      <c r="K205" s="2">
        <f t="shared" si="15"/>
        <v>0</v>
      </c>
      <c r="L205" s="2">
        <f t="shared" si="15"/>
        <v>0</v>
      </c>
    </row>
    <row r="206" spans="1:12" hidden="1" x14ac:dyDescent="0.25">
      <c r="A206" t="s">
        <v>11</v>
      </c>
      <c r="B206" t="s">
        <v>243</v>
      </c>
      <c r="C206" s="2"/>
      <c r="D206" s="2">
        <v>1781696000</v>
      </c>
      <c r="E206" s="2">
        <v>1247403000</v>
      </c>
      <c r="F206" s="2">
        <v>1136916000</v>
      </c>
      <c r="G206" s="30">
        <v>1325323000</v>
      </c>
      <c r="H206" s="2">
        <f t="shared" si="15"/>
        <v>0</v>
      </c>
      <c r="I206" s="2">
        <f t="shared" si="15"/>
        <v>0</v>
      </c>
      <c r="J206" s="2">
        <f t="shared" si="15"/>
        <v>0</v>
      </c>
      <c r="K206" s="2">
        <f t="shared" si="15"/>
        <v>0</v>
      </c>
      <c r="L206" s="2">
        <f t="shared" si="15"/>
        <v>0</v>
      </c>
    </row>
    <row r="207" spans="1:12" hidden="1" x14ac:dyDescent="0.25">
      <c r="B207" t="s">
        <v>246</v>
      </c>
      <c r="C207" s="2"/>
      <c r="D207" s="2">
        <v>0</v>
      </c>
      <c r="E207" s="2">
        <v>0</v>
      </c>
      <c r="F207" s="2">
        <v>0</v>
      </c>
      <c r="G207" s="30">
        <v>0</v>
      </c>
      <c r="H207" s="2">
        <f t="shared" si="15"/>
        <v>0</v>
      </c>
      <c r="I207" s="2">
        <f t="shared" si="15"/>
        <v>0</v>
      </c>
      <c r="J207" s="2">
        <f t="shared" si="15"/>
        <v>0</v>
      </c>
      <c r="K207" s="2">
        <f t="shared" si="15"/>
        <v>0</v>
      </c>
      <c r="L207" s="2">
        <f t="shared" si="15"/>
        <v>0</v>
      </c>
    </row>
    <row r="208" spans="1:12" hidden="1" x14ac:dyDescent="0.25">
      <c r="A208" t="s">
        <v>10</v>
      </c>
      <c r="B208" t="s">
        <v>242</v>
      </c>
      <c r="C208" s="2"/>
      <c r="D208" s="2">
        <v>0</v>
      </c>
      <c r="E208" s="2">
        <v>0</v>
      </c>
      <c r="F208" s="2">
        <v>0</v>
      </c>
      <c r="G208" s="30">
        <v>0</v>
      </c>
      <c r="H208" s="2">
        <f t="shared" si="15"/>
        <v>0</v>
      </c>
      <c r="I208" s="2">
        <f t="shared" si="15"/>
        <v>0</v>
      </c>
      <c r="J208" s="2">
        <f t="shared" si="15"/>
        <v>0</v>
      </c>
      <c r="K208" s="2">
        <f t="shared" si="15"/>
        <v>0</v>
      </c>
      <c r="L208" s="2">
        <f t="shared" si="15"/>
        <v>0</v>
      </c>
    </row>
    <row r="209" spans="1:12" hidden="1" x14ac:dyDescent="0.25">
      <c r="A209" t="s">
        <v>11</v>
      </c>
      <c r="B209" t="s">
        <v>243</v>
      </c>
      <c r="C209" s="2"/>
      <c r="D209" s="2">
        <v>0</v>
      </c>
      <c r="E209" s="2">
        <v>0</v>
      </c>
      <c r="F209" s="2">
        <v>0</v>
      </c>
      <c r="G209" s="30">
        <v>0</v>
      </c>
      <c r="H209" s="2">
        <f t="shared" si="15"/>
        <v>0</v>
      </c>
      <c r="I209" s="2">
        <f t="shared" si="15"/>
        <v>0</v>
      </c>
      <c r="J209" s="2">
        <f t="shared" si="15"/>
        <v>0</v>
      </c>
      <c r="K209" s="2">
        <f t="shared" si="15"/>
        <v>0</v>
      </c>
      <c r="L209" s="2">
        <f t="shared" si="15"/>
        <v>0</v>
      </c>
    </row>
    <row r="210" spans="1:12" hidden="1" x14ac:dyDescent="0.25">
      <c r="A210" t="s">
        <v>10</v>
      </c>
      <c r="B210" t="s">
        <v>247</v>
      </c>
      <c r="C210" s="2"/>
      <c r="D210" s="2">
        <v>489639000</v>
      </c>
      <c r="E210" s="2">
        <v>-1085357000</v>
      </c>
      <c r="F210" s="2">
        <v>-22800010000</v>
      </c>
      <c r="G210" s="30">
        <v>10657331000</v>
      </c>
      <c r="H210" s="2">
        <f t="shared" si="15"/>
        <v>-12711870800.207489</v>
      </c>
      <c r="I210" s="2">
        <f t="shared" si="15"/>
        <v>12297063316.949104</v>
      </c>
      <c r="J210" s="2">
        <f t="shared" si="15"/>
        <v>-13267779155.546188</v>
      </c>
      <c r="K210" s="2">
        <f t="shared" si="15"/>
        <v>7606066102.5152969</v>
      </c>
      <c r="L210" s="2">
        <f t="shared" si="15"/>
        <v>-21814641956.099052</v>
      </c>
    </row>
    <row r="211" spans="1:12" hidden="1" x14ac:dyDescent="0.25">
      <c r="B211" t="s">
        <v>248</v>
      </c>
      <c r="C211" s="2"/>
      <c r="D211" s="2">
        <v>0</v>
      </c>
      <c r="E211" s="2">
        <v>0</v>
      </c>
      <c r="F211" s="2">
        <v>0</v>
      </c>
      <c r="G211" s="30">
        <v>0</v>
      </c>
      <c r="H211" s="2">
        <f t="shared" si="15"/>
        <v>0</v>
      </c>
      <c r="I211" s="2">
        <f t="shared" si="15"/>
        <v>0</v>
      </c>
      <c r="J211" s="2">
        <f t="shared" si="15"/>
        <v>0</v>
      </c>
      <c r="K211" s="2">
        <f t="shared" si="15"/>
        <v>0</v>
      </c>
      <c r="L211" s="2">
        <f t="shared" si="15"/>
        <v>0</v>
      </c>
    </row>
    <row r="212" spans="1:12" hidden="1" x14ac:dyDescent="0.25">
      <c r="B212" t="s">
        <v>249</v>
      </c>
      <c r="C212" s="2"/>
      <c r="D212" s="2">
        <v>489639000</v>
      </c>
      <c r="E212" s="2">
        <v>-1085357000</v>
      </c>
      <c r="F212" s="2">
        <v>-22800010000</v>
      </c>
      <c r="G212" s="30">
        <v>10657331000</v>
      </c>
      <c r="H212" s="2">
        <f t="shared" si="15"/>
        <v>-12711870800.207489</v>
      </c>
      <c r="I212" s="2">
        <f t="shared" si="15"/>
        <v>12297063316.949104</v>
      </c>
      <c r="J212" s="2">
        <f t="shared" si="15"/>
        <v>-13267779155.546188</v>
      </c>
      <c r="K212" s="2">
        <f t="shared" si="15"/>
        <v>7606066102.5152969</v>
      </c>
      <c r="L212" s="2">
        <f t="shared" si="15"/>
        <v>-21814641956.099052</v>
      </c>
    </row>
    <row r="213" spans="1:12" hidden="1" x14ac:dyDescent="0.25">
      <c r="A213" t="s">
        <v>8</v>
      </c>
      <c r="B213" t="s">
        <v>250</v>
      </c>
      <c r="C213" s="2"/>
      <c r="D213" s="2">
        <v>2596069000</v>
      </c>
      <c r="E213" s="2">
        <v>-1428654000</v>
      </c>
      <c r="F213" s="2">
        <v>-135680000</v>
      </c>
      <c r="G213" s="30">
        <v>-706694000</v>
      </c>
      <c r="H213" s="2">
        <f t="shared" si="15"/>
        <v>0</v>
      </c>
      <c r="I213" s="2">
        <f t="shared" si="15"/>
        <v>0</v>
      </c>
      <c r="J213" s="2">
        <f t="shared" si="15"/>
        <v>0</v>
      </c>
      <c r="K213" s="2">
        <f t="shared" si="15"/>
        <v>0</v>
      </c>
      <c r="L213" s="2">
        <f t="shared" si="15"/>
        <v>0</v>
      </c>
    </row>
    <row r="214" spans="1:12" hidden="1" x14ac:dyDescent="0.25">
      <c r="B214" t="s">
        <v>251</v>
      </c>
      <c r="C214" s="2"/>
      <c r="D214" s="2">
        <v>0</v>
      </c>
      <c r="E214" s="2">
        <v>0</v>
      </c>
      <c r="F214" s="2">
        <v>0</v>
      </c>
      <c r="G214" s="30">
        <v>0</v>
      </c>
      <c r="H214" s="2">
        <f t="shared" si="15"/>
        <v>0</v>
      </c>
      <c r="I214" s="2">
        <f t="shared" si="15"/>
        <v>0</v>
      </c>
      <c r="J214" s="2">
        <f t="shared" si="15"/>
        <v>0</v>
      </c>
      <c r="K214" s="2">
        <f t="shared" si="15"/>
        <v>0</v>
      </c>
      <c r="L214" s="2">
        <f t="shared" si="15"/>
        <v>0</v>
      </c>
    </row>
    <row r="215" spans="1:12" hidden="1" x14ac:dyDescent="0.25">
      <c r="B215" t="s">
        <v>252</v>
      </c>
      <c r="C215" s="2"/>
      <c r="D215" s="2">
        <v>0</v>
      </c>
      <c r="E215" s="2">
        <v>0</v>
      </c>
      <c r="F215" s="2">
        <v>0</v>
      </c>
      <c r="G215" s="30">
        <v>0</v>
      </c>
      <c r="H215" s="2">
        <f t="shared" si="15"/>
        <v>0</v>
      </c>
      <c r="I215" s="2">
        <f t="shared" si="15"/>
        <v>0</v>
      </c>
      <c r="J215" s="2">
        <f t="shared" si="15"/>
        <v>0</v>
      </c>
      <c r="K215" s="2">
        <f t="shared" si="15"/>
        <v>0</v>
      </c>
      <c r="L215" s="2">
        <f t="shared" si="15"/>
        <v>0</v>
      </c>
    </row>
    <row r="216" spans="1:12" hidden="1" x14ac:dyDescent="0.25">
      <c r="B216" t="s">
        <v>253</v>
      </c>
      <c r="C216" s="2"/>
      <c r="D216" s="2">
        <v>0</v>
      </c>
      <c r="E216" s="2">
        <v>0</v>
      </c>
      <c r="F216" s="2">
        <v>0</v>
      </c>
      <c r="G216" s="30">
        <v>0</v>
      </c>
      <c r="H216" s="2">
        <f t="shared" si="15"/>
        <v>0</v>
      </c>
      <c r="I216" s="2">
        <f t="shared" si="15"/>
        <v>0</v>
      </c>
      <c r="J216" s="2">
        <f t="shared" si="15"/>
        <v>0</v>
      </c>
      <c r="K216" s="2">
        <f t="shared" si="15"/>
        <v>0</v>
      </c>
      <c r="L216" s="2">
        <f t="shared" si="15"/>
        <v>0</v>
      </c>
    </row>
    <row r="217" spans="1:12" hidden="1" x14ac:dyDescent="0.25">
      <c r="B217" t="s">
        <v>254</v>
      </c>
      <c r="C217" s="2"/>
      <c r="D217" s="2">
        <v>2596069000</v>
      </c>
      <c r="E217" s="2">
        <v>-1428654000</v>
      </c>
      <c r="F217" s="2">
        <v>-135680000</v>
      </c>
      <c r="G217" s="30">
        <v>-706694000</v>
      </c>
      <c r="H217" s="2">
        <f t="shared" si="15"/>
        <v>0</v>
      </c>
      <c r="I217" s="2">
        <f t="shared" si="15"/>
        <v>0</v>
      </c>
      <c r="J217" s="2">
        <f t="shared" si="15"/>
        <v>0</v>
      </c>
      <c r="K217" s="2">
        <f t="shared" si="15"/>
        <v>0</v>
      </c>
      <c r="L217" s="2">
        <f t="shared" si="15"/>
        <v>0</v>
      </c>
    </row>
    <row r="218" spans="1:12" hidden="1" x14ac:dyDescent="0.25">
      <c r="B218" t="s">
        <v>255</v>
      </c>
      <c r="C218" s="2"/>
      <c r="D218" s="2">
        <v>0</v>
      </c>
      <c r="E218" s="2">
        <v>0</v>
      </c>
      <c r="F218" s="2">
        <v>0</v>
      </c>
      <c r="G218" s="30">
        <v>0</v>
      </c>
      <c r="H218" s="2">
        <f t="shared" si="15"/>
        <v>0</v>
      </c>
      <c r="I218" s="2">
        <f t="shared" si="15"/>
        <v>0</v>
      </c>
      <c r="J218" s="2">
        <f t="shared" si="15"/>
        <v>0</v>
      </c>
      <c r="K218" s="2">
        <f t="shared" si="15"/>
        <v>0</v>
      </c>
      <c r="L218" s="2">
        <f t="shared" si="15"/>
        <v>0</v>
      </c>
    </row>
    <row r="219" spans="1:12" hidden="1" x14ac:dyDescent="0.25">
      <c r="B219" t="s">
        <v>256</v>
      </c>
      <c r="C219" s="2"/>
      <c r="D219" s="2">
        <v>0</v>
      </c>
      <c r="E219" s="2">
        <v>0</v>
      </c>
      <c r="F219" s="2">
        <v>0</v>
      </c>
      <c r="G219" s="30">
        <v>0</v>
      </c>
      <c r="H219" s="2">
        <f t="shared" si="15"/>
        <v>0</v>
      </c>
      <c r="I219" s="2">
        <f t="shared" si="15"/>
        <v>0</v>
      </c>
      <c r="J219" s="2">
        <f t="shared" si="15"/>
        <v>0</v>
      </c>
      <c r="K219" s="2">
        <f t="shared" si="15"/>
        <v>0</v>
      </c>
      <c r="L219" s="2">
        <f t="shared" si="15"/>
        <v>0</v>
      </c>
    </row>
    <row r="220" spans="1:12" hidden="1" x14ac:dyDescent="0.25">
      <c r="B220" t="s">
        <v>257</v>
      </c>
      <c r="C220" s="2"/>
      <c r="D220" s="2">
        <v>341418000</v>
      </c>
      <c r="E220" s="2">
        <v>-842147000</v>
      </c>
      <c r="F220" s="2">
        <v>519296000</v>
      </c>
      <c r="G220" s="30">
        <v>3813006000</v>
      </c>
      <c r="H220" s="2">
        <f t="shared" ref="H220:L226" si="16">-(H92-G92)</f>
        <v>0</v>
      </c>
      <c r="I220" s="2">
        <f t="shared" si="16"/>
        <v>0</v>
      </c>
      <c r="J220" s="2">
        <f t="shared" si="16"/>
        <v>0</v>
      </c>
      <c r="K220" s="2">
        <f t="shared" si="16"/>
        <v>0</v>
      </c>
      <c r="L220" s="2">
        <f t="shared" si="16"/>
        <v>0</v>
      </c>
    </row>
    <row r="221" spans="1:12" hidden="1" x14ac:dyDescent="0.25">
      <c r="B221" t="s">
        <v>258</v>
      </c>
      <c r="C221" s="2"/>
      <c r="D221" s="2">
        <v>3641508000</v>
      </c>
      <c r="E221" s="2">
        <v>2699308000</v>
      </c>
      <c r="F221" s="2">
        <v>-4513040000</v>
      </c>
      <c r="G221" s="30">
        <v>-81495000</v>
      </c>
      <c r="H221" s="2">
        <f t="shared" si="16"/>
        <v>0</v>
      </c>
      <c r="I221" s="2">
        <f t="shared" si="16"/>
        <v>0</v>
      </c>
      <c r="J221" s="2">
        <f t="shared" si="16"/>
        <v>0</v>
      </c>
      <c r="K221" s="2">
        <f t="shared" si="16"/>
        <v>0</v>
      </c>
      <c r="L221" s="2">
        <f t="shared" si="16"/>
        <v>0</v>
      </c>
    </row>
    <row r="222" spans="1:12" hidden="1" x14ac:dyDescent="0.25">
      <c r="B222" t="s">
        <v>259</v>
      </c>
      <c r="C222" s="2"/>
      <c r="D222" s="2">
        <v>-3300088000</v>
      </c>
      <c r="E222" s="2">
        <v>-3541456000</v>
      </c>
      <c r="F222" s="2">
        <v>5032336000</v>
      </c>
      <c r="G222" s="30">
        <v>3894501000</v>
      </c>
      <c r="H222" s="2">
        <f t="shared" si="16"/>
        <v>0</v>
      </c>
      <c r="I222" s="2">
        <f t="shared" si="16"/>
        <v>0</v>
      </c>
      <c r="J222" s="2">
        <f t="shared" si="16"/>
        <v>0</v>
      </c>
      <c r="K222" s="2">
        <f t="shared" si="16"/>
        <v>0</v>
      </c>
      <c r="L222" s="2">
        <f t="shared" si="16"/>
        <v>0</v>
      </c>
    </row>
    <row r="223" spans="1:12" hidden="1" x14ac:dyDescent="0.25">
      <c r="B223" t="s">
        <v>260</v>
      </c>
      <c r="C223" s="2"/>
      <c r="D223" s="2">
        <v>0</v>
      </c>
      <c r="E223" s="2">
        <v>0</v>
      </c>
      <c r="F223" s="2">
        <v>0</v>
      </c>
      <c r="G223" s="30">
        <v>0</v>
      </c>
      <c r="H223" s="2">
        <f t="shared" si="16"/>
        <v>0</v>
      </c>
      <c r="I223" s="2">
        <f t="shared" si="16"/>
        <v>0</v>
      </c>
      <c r="J223" s="2">
        <f t="shared" si="16"/>
        <v>0</v>
      </c>
      <c r="K223" s="2">
        <f t="shared" si="16"/>
        <v>0</v>
      </c>
      <c r="L223" s="2">
        <f t="shared" si="16"/>
        <v>0</v>
      </c>
    </row>
    <row r="224" spans="1:12" hidden="1" x14ac:dyDescent="0.25">
      <c r="B224" t="s">
        <v>261</v>
      </c>
      <c r="C224" s="2"/>
      <c r="D224" s="2">
        <v>0</v>
      </c>
      <c r="E224" s="2">
        <v>0</v>
      </c>
      <c r="F224" s="2">
        <v>0</v>
      </c>
      <c r="G224" s="30">
        <v>0</v>
      </c>
      <c r="H224" s="2">
        <f t="shared" si="16"/>
        <v>0</v>
      </c>
      <c r="I224" s="2">
        <f t="shared" si="16"/>
        <v>0</v>
      </c>
      <c r="J224" s="2">
        <f t="shared" si="16"/>
        <v>0</v>
      </c>
      <c r="K224" s="2">
        <f t="shared" si="16"/>
        <v>0</v>
      </c>
      <c r="L224" s="2">
        <f t="shared" si="16"/>
        <v>0</v>
      </c>
    </row>
    <row r="225" spans="1:12" hidden="1" x14ac:dyDescent="0.25">
      <c r="B225" t="s">
        <v>262</v>
      </c>
      <c r="C225" s="2"/>
      <c r="D225" s="2">
        <v>0</v>
      </c>
      <c r="E225" s="2">
        <v>0</v>
      </c>
      <c r="F225" s="2">
        <v>0</v>
      </c>
      <c r="G225" s="30">
        <v>0</v>
      </c>
      <c r="H225" s="2">
        <f t="shared" si="16"/>
        <v>0</v>
      </c>
      <c r="I225" s="2">
        <f t="shared" si="16"/>
        <v>0</v>
      </c>
      <c r="J225" s="2">
        <f t="shared" si="16"/>
        <v>0</v>
      </c>
      <c r="K225" s="2">
        <f t="shared" si="16"/>
        <v>0</v>
      </c>
      <c r="L225" s="2">
        <f t="shared" si="16"/>
        <v>0</v>
      </c>
    </row>
    <row r="226" spans="1:12" hidden="1" x14ac:dyDescent="0.25">
      <c r="B226" t="s">
        <v>263</v>
      </c>
      <c r="C226" s="2"/>
      <c r="D226" s="2">
        <v>-95970977000</v>
      </c>
      <c r="E226" s="2">
        <v>-221479195000</v>
      </c>
      <c r="F226" s="2">
        <v>-159615518000</v>
      </c>
      <c r="G226" s="30">
        <v>-67963657000</v>
      </c>
      <c r="H226" s="2">
        <f t="shared" si="16"/>
        <v>-126651481872.19531</v>
      </c>
      <c r="I226" s="2">
        <f t="shared" si="16"/>
        <v>-232651277988.58521</v>
      </c>
      <c r="J226" s="2">
        <f t="shared" si="16"/>
        <v>-184325875464.72095</v>
      </c>
      <c r="K226" s="2">
        <f t="shared" si="16"/>
        <v>-338513085285.86572</v>
      </c>
      <c r="L226" s="2">
        <f t="shared" si="16"/>
        <v>-333521592921.06885</v>
      </c>
    </row>
    <row r="227" spans="1:12" hidden="1" x14ac:dyDescent="0.25">
      <c r="C227" s="2"/>
      <c r="D227" s="2"/>
      <c r="E227" s="2"/>
      <c r="F227" s="2"/>
      <c r="H227" s="2"/>
      <c r="I227" s="2"/>
      <c r="J227" s="2"/>
      <c r="K227" s="2"/>
      <c r="L227" s="2"/>
    </row>
    <row r="228" spans="1:12" hidden="1" x14ac:dyDescent="0.25">
      <c r="B228" t="s">
        <v>264</v>
      </c>
      <c r="C228" s="2"/>
      <c r="D228" s="2"/>
      <c r="E228" s="2"/>
      <c r="F228" s="2"/>
      <c r="H228" s="2"/>
      <c r="I228" s="2"/>
      <c r="J228" s="2"/>
      <c r="K228" s="2"/>
      <c r="L228" s="2"/>
    </row>
    <row r="229" spans="1:12" hidden="1" x14ac:dyDescent="0.25">
      <c r="B229" t="s">
        <v>265</v>
      </c>
      <c r="C229" s="2"/>
      <c r="D229" s="2">
        <v>5656072000</v>
      </c>
      <c r="E229" s="2">
        <v>152306682000</v>
      </c>
      <c r="F229" s="2">
        <v>-17118401000</v>
      </c>
      <c r="G229" s="30">
        <v>-54765199000</v>
      </c>
      <c r="H229" s="2">
        <f t="shared" ref="H229:L244" si="17">(H101-G101)</f>
        <v>-10178887320.810486</v>
      </c>
      <c r="I229" s="2">
        <f t="shared" si="17"/>
        <v>73383429851.258179</v>
      </c>
      <c r="J229" s="2">
        <f t="shared" si="17"/>
        <v>9217085774.5309448</v>
      </c>
      <c r="K229" s="2">
        <f t="shared" si="17"/>
        <v>125164364341.84216</v>
      </c>
      <c r="L229" s="2">
        <f t="shared" si="17"/>
        <v>76966332609.033936</v>
      </c>
    </row>
    <row r="230" spans="1:12" hidden="1" x14ac:dyDescent="0.25">
      <c r="B230" t="s">
        <v>266</v>
      </c>
      <c r="C230" s="2"/>
      <c r="D230" s="2">
        <v>5958144000</v>
      </c>
      <c r="E230" s="2">
        <v>152169787000</v>
      </c>
      <c r="F230" s="2">
        <v>-17364921000</v>
      </c>
      <c r="G230" s="30">
        <v>-54922493000</v>
      </c>
      <c r="H230" s="2">
        <f t="shared" si="17"/>
        <v>-10178886320.810486</v>
      </c>
      <c r="I230" s="2">
        <f t="shared" si="17"/>
        <v>73383429851.258179</v>
      </c>
      <c r="J230" s="2">
        <f t="shared" si="17"/>
        <v>9217085774.5309448</v>
      </c>
      <c r="K230" s="2">
        <f t="shared" si="17"/>
        <v>125164364341.84216</v>
      </c>
      <c r="L230" s="2">
        <f t="shared" si="17"/>
        <v>76966332609.033936</v>
      </c>
    </row>
    <row r="231" spans="1:12" hidden="1" x14ac:dyDescent="0.25">
      <c r="A231" t="s">
        <v>9</v>
      </c>
      <c r="B231" t="s">
        <v>267</v>
      </c>
      <c r="C231" s="2"/>
      <c r="D231" s="2">
        <v>-17594301000</v>
      </c>
      <c r="E231" s="2">
        <v>42249344000</v>
      </c>
      <c r="F231" s="2">
        <v>54434830000</v>
      </c>
      <c r="G231" s="30">
        <v>3377901000</v>
      </c>
      <c r="H231" s="2">
        <f t="shared" si="17"/>
        <v>-30818300643.499573</v>
      </c>
      <c r="I231" s="2">
        <f t="shared" si="17"/>
        <v>68601275295.56665</v>
      </c>
      <c r="J231" s="2">
        <f t="shared" si="17"/>
        <v>-3109469313.6195068</v>
      </c>
      <c r="K231" s="2">
        <f t="shared" si="17"/>
        <v>106134075010.49353</v>
      </c>
      <c r="L231" s="2">
        <f t="shared" si="17"/>
        <v>48302842555.063232</v>
      </c>
    </row>
    <row r="232" spans="1:12" hidden="1" x14ac:dyDescent="0.25">
      <c r="A232" t="s">
        <v>9</v>
      </c>
      <c r="B232" t="s">
        <v>268</v>
      </c>
      <c r="C232" s="2"/>
      <c r="D232" s="2">
        <v>-1969200000</v>
      </c>
      <c r="E232" s="2">
        <v>-4328810000</v>
      </c>
      <c r="F232" s="2">
        <v>-311318000</v>
      </c>
      <c r="G232" s="30">
        <v>895561000</v>
      </c>
      <c r="H232" s="2">
        <f t="shared" si="17"/>
        <v>-456161023.56729102</v>
      </c>
      <c r="I232" s="2">
        <f t="shared" si="17"/>
        <v>100888715.747226</v>
      </c>
      <c r="J232" s="2">
        <f t="shared" si="17"/>
        <v>174877289.52870226</v>
      </c>
      <c r="K232" s="2">
        <f t="shared" si="17"/>
        <v>275097984.07450986</v>
      </c>
      <c r="L232" s="2">
        <f t="shared" si="17"/>
        <v>412379978.56520867</v>
      </c>
    </row>
    <row r="233" spans="1:12" hidden="1" x14ac:dyDescent="0.25">
      <c r="A233" t="s">
        <v>9</v>
      </c>
      <c r="B233" t="s">
        <v>269</v>
      </c>
      <c r="C233" s="2"/>
      <c r="D233" s="2">
        <v>997029000</v>
      </c>
      <c r="E233" s="2">
        <v>3457852000</v>
      </c>
      <c r="F233" s="2">
        <v>-2915554000</v>
      </c>
      <c r="G233" s="30">
        <v>-735761000</v>
      </c>
      <c r="H233" s="2">
        <f t="shared" si="17"/>
        <v>456603849.53458023</v>
      </c>
      <c r="I233" s="2">
        <f t="shared" si="17"/>
        <v>1676984671.8366165</v>
      </c>
      <c r="J233" s="2">
        <f t="shared" si="17"/>
        <v>2906831867.368988</v>
      </c>
      <c r="K233" s="2">
        <f t="shared" si="17"/>
        <v>4572712608.4345284</v>
      </c>
      <c r="L233" s="2">
        <f t="shared" si="17"/>
        <v>6854630846.5144958</v>
      </c>
    </row>
    <row r="234" spans="1:12" hidden="1" x14ac:dyDescent="0.25">
      <c r="A234" t="s">
        <v>9</v>
      </c>
      <c r="B234" t="s">
        <v>270</v>
      </c>
      <c r="C234" s="2"/>
      <c r="D234" s="2">
        <v>10177836000</v>
      </c>
      <c r="E234" s="2">
        <v>39552499000</v>
      </c>
      <c r="F234" s="2">
        <v>-15192311000</v>
      </c>
      <c r="G234" s="30">
        <v>-35255477000</v>
      </c>
      <c r="H234" s="2">
        <f t="shared" si="17"/>
        <v>18277304372.11562</v>
      </c>
      <c r="I234" s="2">
        <f t="shared" si="17"/>
        <v>2902173521.0418625</v>
      </c>
      <c r="J234" s="2">
        <f t="shared" si="17"/>
        <v>5030535232.2390404</v>
      </c>
      <c r="K234" s="2">
        <f t="shared" si="17"/>
        <v>7913492397.6370468</v>
      </c>
      <c r="L234" s="2">
        <f t="shared" si="17"/>
        <v>11862558121.944031</v>
      </c>
    </row>
    <row r="235" spans="1:12" hidden="1" x14ac:dyDescent="0.25">
      <c r="A235" t="s">
        <v>9</v>
      </c>
      <c r="B235" t="s">
        <v>271</v>
      </c>
      <c r="C235" s="2"/>
      <c r="D235" s="2">
        <v>14782546000</v>
      </c>
      <c r="E235" s="2">
        <v>18032526000</v>
      </c>
      <c r="F235" s="2">
        <v>-24820180000</v>
      </c>
      <c r="G235" s="30">
        <v>-6021750000</v>
      </c>
      <c r="H235" s="2">
        <f t="shared" si="17"/>
        <v>3186273216.7944565</v>
      </c>
      <c r="I235" s="2">
        <f t="shared" si="17"/>
        <v>1881656585.7495651</v>
      </c>
      <c r="J235" s="2">
        <f t="shared" si="17"/>
        <v>3261603650.1462173</v>
      </c>
      <c r="K235" s="2">
        <f t="shared" si="17"/>
        <v>5130801097.2918396</v>
      </c>
      <c r="L235" s="2">
        <f t="shared" si="17"/>
        <v>7691221924.5870056</v>
      </c>
    </row>
    <row r="236" spans="1:12" hidden="1" x14ac:dyDescent="0.25">
      <c r="A236" t="s">
        <v>9</v>
      </c>
      <c r="B236" t="s">
        <v>272</v>
      </c>
      <c r="C236" s="2"/>
      <c r="D236" s="2">
        <v>0</v>
      </c>
      <c r="E236" s="2">
        <v>0</v>
      </c>
      <c r="F236" s="2">
        <v>0</v>
      </c>
      <c r="G236" s="30">
        <v>0</v>
      </c>
      <c r="H236" s="2">
        <f t="shared" si="17"/>
        <v>0</v>
      </c>
      <c r="I236" s="2">
        <f t="shared" si="17"/>
        <v>0</v>
      </c>
      <c r="J236" s="2">
        <f t="shared" si="17"/>
        <v>0</v>
      </c>
      <c r="K236" s="2">
        <f t="shared" si="17"/>
        <v>0</v>
      </c>
      <c r="L236" s="2">
        <f t="shared" si="17"/>
        <v>0</v>
      </c>
    </row>
    <row r="237" spans="1:12" hidden="1" x14ac:dyDescent="0.25">
      <c r="A237" t="s">
        <v>9</v>
      </c>
      <c r="B237" t="s">
        <v>273</v>
      </c>
      <c r="C237" s="2"/>
      <c r="D237" s="2">
        <v>0</v>
      </c>
      <c r="E237" s="2">
        <v>0</v>
      </c>
      <c r="F237" s="2">
        <v>0</v>
      </c>
      <c r="G237" s="30">
        <v>0</v>
      </c>
      <c r="H237" s="2">
        <f t="shared" si="17"/>
        <v>0</v>
      </c>
      <c r="I237" s="2">
        <f t="shared" si="17"/>
        <v>0</v>
      </c>
      <c r="J237" s="2">
        <f t="shared" si="17"/>
        <v>0</v>
      </c>
      <c r="K237" s="2">
        <f t="shared" si="17"/>
        <v>0</v>
      </c>
      <c r="L237" s="2">
        <f t="shared" si="17"/>
        <v>0</v>
      </c>
    </row>
    <row r="238" spans="1:12" hidden="1" x14ac:dyDescent="0.25">
      <c r="A238" t="s">
        <v>9</v>
      </c>
      <c r="B238" t="s">
        <v>274</v>
      </c>
      <c r="C238" s="2"/>
      <c r="D238" s="2">
        <v>0</v>
      </c>
      <c r="E238" s="2">
        <v>0</v>
      </c>
      <c r="F238" s="2">
        <v>0</v>
      </c>
      <c r="G238" s="30">
        <v>0</v>
      </c>
      <c r="H238" s="2">
        <f t="shared" si="17"/>
        <v>0</v>
      </c>
      <c r="I238" s="2">
        <f t="shared" si="17"/>
        <v>0</v>
      </c>
      <c r="J238" s="2">
        <f t="shared" si="17"/>
        <v>0</v>
      </c>
      <c r="K238" s="2">
        <f t="shared" si="17"/>
        <v>0</v>
      </c>
      <c r="L238" s="2">
        <f t="shared" si="17"/>
        <v>0</v>
      </c>
    </row>
    <row r="239" spans="1:12" hidden="1" x14ac:dyDescent="0.25">
      <c r="A239" t="s">
        <v>9</v>
      </c>
      <c r="B239" t="s">
        <v>275</v>
      </c>
      <c r="C239" s="2"/>
      <c r="D239" s="2">
        <v>753168000</v>
      </c>
      <c r="E239" s="2">
        <v>51301439000</v>
      </c>
      <c r="F239" s="2">
        <v>-52049352000</v>
      </c>
      <c r="G239" s="30">
        <v>1619512000</v>
      </c>
      <c r="H239" s="2">
        <f t="shared" si="17"/>
        <v>-824607092.18830633</v>
      </c>
      <c r="I239" s="2">
        <f t="shared" si="17"/>
        <v>188983317.69761324</v>
      </c>
      <c r="J239" s="2">
        <f t="shared" si="17"/>
        <v>327577669.31936455</v>
      </c>
      <c r="K239" s="2">
        <f t="shared" si="17"/>
        <v>515309659.13554621</v>
      </c>
      <c r="L239" s="2">
        <f t="shared" si="17"/>
        <v>772464352.66935682</v>
      </c>
    </row>
    <row r="240" spans="1:12" hidden="1" x14ac:dyDescent="0.25">
      <c r="B240" t="s">
        <v>276</v>
      </c>
      <c r="C240" s="2"/>
      <c r="D240" s="2">
        <v>0</v>
      </c>
      <c r="E240" s="2">
        <v>0</v>
      </c>
      <c r="F240" s="2">
        <v>23497576000</v>
      </c>
      <c r="G240" s="30">
        <v>-23497576000</v>
      </c>
      <c r="H240" s="2">
        <f t="shared" si="17"/>
        <v>0</v>
      </c>
      <c r="I240" s="2">
        <f t="shared" si="17"/>
        <v>0</v>
      </c>
      <c r="J240" s="2">
        <f t="shared" si="17"/>
        <v>0</v>
      </c>
      <c r="K240" s="2">
        <f t="shared" si="17"/>
        <v>0</v>
      </c>
      <c r="L240" s="2">
        <f t="shared" si="17"/>
        <v>0</v>
      </c>
    </row>
    <row r="241" spans="1:12" hidden="1" x14ac:dyDescent="0.25">
      <c r="A241" t="s">
        <v>9</v>
      </c>
      <c r="B241" t="s">
        <v>277</v>
      </c>
      <c r="C241" s="2"/>
      <c r="D241" s="2">
        <v>0</v>
      </c>
      <c r="E241" s="2">
        <v>0</v>
      </c>
      <c r="F241" s="2">
        <v>0</v>
      </c>
      <c r="G241" s="30">
        <v>0</v>
      </c>
      <c r="H241" s="2">
        <f t="shared" si="17"/>
        <v>0</v>
      </c>
      <c r="I241" s="2">
        <f t="shared" si="17"/>
        <v>0</v>
      </c>
      <c r="J241" s="2">
        <f t="shared" si="17"/>
        <v>0</v>
      </c>
      <c r="K241" s="2">
        <f t="shared" si="17"/>
        <v>0</v>
      </c>
      <c r="L241" s="2">
        <f t="shared" si="17"/>
        <v>0</v>
      </c>
    </row>
    <row r="242" spans="1:12" hidden="1" x14ac:dyDescent="0.25">
      <c r="A242" t="s">
        <v>8</v>
      </c>
      <c r="B242" t="s">
        <v>12</v>
      </c>
      <c r="C242" s="2"/>
      <c r="D242" s="2">
        <v>-1188935000</v>
      </c>
      <c r="E242" s="2">
        <v>1904937000</v>
      </c>
      <c r="F242" s="2">
        <v>-8610000</v>
      </c>
      <c r="G242" s="30">
        <v>4695097000</v>
      </c>
      <c r="H242" s="2">
        <f>-'Vốn lưu động'!G86</f>
        <v>-6985902000</v>
      </c>
      <c r="I242" s="2">
        <f>-'Vốn lưu động'!H86</f>
        <v>-6985902000</v>
      </c>
      <c r="J242" s="2">
        <f>-'Vốn lưu động'!I86</f>
        <v>-5017369743.6187057</v>
      </c>
      <c r="K242" s="2">
        <f>-'Vốn lưu động'!J86</f>
        <v>-5642499123.1667404</v>
      </c>
      <c r="L242" s="2">
        <f>-'Vốn lưu động'!K86</f>
        <v>-6265374707.9420433</v>
      </c>
    </row>
    <row r="243" spans="1:12" hidden="1" x14ac:dyDescent="0.25">
      <c r="A243" t="s">
        <v>9</v>
      </c>
      <c r="B243" t="s">
        <v>279</v>
      </c>
      <c r="C243" s="2"/>
      <c r="D243" s="2">
        <v>0</v>
      </c>
      <c r="E243" s="2">
        <v>0</v>
      </c>
      <c r="F243" s="2">
        <v>0</v>
      </c>
      <c r="G243" s="30">
        <v>0</v>
      </c>
      <c r="H243" s="2">
        <f t="shared" si="17"/>
        <v>0</v>
      </c>
      <c r="I243" s="2">
        <f t="shared" si="17"/>
        <v>0</v>
      </c>
      <c r="J243" s="2">
        <f t="shared" si="17"/>
        <v>0</v>
      </c>
      <c r="K243" s="2">
        <f t="shared" si="17"/>
        <v>0</v>
      </c>
      <c r="L243" s="2">
        <f t="shared" si="17"/>
        <v>0</v>
      </c>
    </row>
    <row r="244" spans="1:12" hidden="1" x14ac:dyDescent="0.25">
      <c r="A244" t="s">
        <v>9</v>
      </c>
      <c r="B244" t="s">
        <v>280</v>
      </c>
      <c r="C244" s="2"/>
      <c r="D244" s="2">
        <v>0</v>
      </c>
      <c r="E244" s="2">
        <v>0</v>
      </c>
      <c r="F244" s="2">
        <v>0</v>
      </c>
      <c r="G244" s="30">
        <v>0</v>
      </c>
      <c r="H244" s="2">
        <f t="shared" si="17"/>
        <v>0</v>
      </c>
      <c r="I244" s="2">
        <f t="shared" si="17"/>
        <v>0</v>
      </c>
      <c r="J244" s="2">
        <f t="shared" si="17"/>
        <v>0</v>
      </c>
      <c r="K244" s="2">
        <f t="shared" si="17"/>
        <v>0</v>
      </c>
      <c r="L244" s="2">
        <f t="shared" si="17"/>
        <v>0</v>
      </c>
    </row>
    <row r="245" spans="1:12" hidden="1" x14ac:dyDescent="0.25">
      <c r="B245" t="s">
        <v>281</v>
      </c>
      <c r="C245" s="2"/>
      <c r="D245" s="2">
        <v>-302071000</v>
      </c>
      <c r="E245" s="2">
        <v>136895000</v>
      </c>
      <c r="F245" s="2">
        <v>246521000</v>
      </c>
      <c r="G245" s="30">
        <v>157292000</v>
      </c>
      <c r="H245" s="2">
        <f t="shared" ref="H245:L260" si="18">(H117-G117)</f>
        <v>0</v>
      </c>
      <c r="I245" s="2">
        <f t="shared" si="18"/>
        <v>0</v>
      </c>
      <c r="J245" s="2">
        <f t="shared" si="18"/>
        <v>0</v>
      </c>
      <c r="K245" s="2">
        <f t="shared" si="18"/>
        <v>0</v>
      </c>
      <c r="L245" s="2">
        <f t="shared" si="18"/>
        <v>0</v>
      </c>
    </row>
    <row r="246" spans="1:12" hidden="1" x14ac:dyDescent="0.25">
      <c r="A246" t="s">
        <v>8</v>
      </c>
      <c r="B246" t="s">
        <v>282</v>
      </c>
      <c r="C246" s="2"/>
      <c r="D246" s="2">
        <v>0</v>
      </c>
      <c r="E246" s="2">
        <v>0</v>
      </c>
      <c r="F246" s="2">
        <v>0</v>
      </c>
      <c r="G246" s="30">
        <v>0</v>
      </c>
      <c r="H246" s="2">
        <f t="shared" si="18"/>
        <v>0</v>
      </c>
      <c r="I246" s="2">
        <f t="shared" si="18"/>
        <v>0</v>
      </c>
      <c r="J246" s="2">
        <f t="shared" si="18"/>
        <v>0</v>
      </c>
      <c r="K246" s="2">
        <f t="shared" si="18"/>
        <v>0</v>
      </c>
      <c r="L246" s="2">
        <f t="shared" si="18"/>
        <v>0</v>
      </c>
    </row>
    <row r="247" spans="1:12" hidden="1" x14ac:dyDescent="0.25">
      <c r="A247" t="s">
        <v>8</v>
      </c>
      <c r="B247" t="s">
        <v>283</v>
      </c>
      <c r="C247" s="2"/>
      <c r="D247" s="2">
        <v>0</v>
      </c>
      <c r="E247" s="2">
        <v>0</v>
      </c>
      <c r="F247" s="2">
        <v>0</v>
      </c>
      <c r="G247" s="30">
        <v>0</v>
      </c>
      <c r="H247" s="2">
        <f t="shared" si="18"/>
        <v>0</v>
      </c>
      <c r="I247" s="2">
        <f t="shared" si="18"/>
        <v>0</v>
      </c>
      <c r="J247" s="2">
        <f t="shared" si="18"/>
        <v>0</v>
      </c>
      <c r="K247" s="2">
        <f t="shared" si="18"/>
        <v>0</v>
      </c>
      <c r="L247" s="2">
        <f t="shared" si="18"/>
        <v>0</v>
      </c>
    </row>
    <row r="248" spans="1:12" hidden="1" x14ac:dyDescent="0.25">
      <c r="A248" t="s">
        <v>8</v>
      </c>
      <c r="B248" t="s">
        <v>284</v>
      </c>
      <c r="C248" s="2"/>
      <c r="D248" s="2">
        <v>0</v>
      </c>
      <c r="E248" s="2">
        <v>0</v>
      </c>
      <c r="F248" s="2">
        <v>0</v>
      </c>
      <c r="G248" s="30">
        <v>0</v>
      </c>
      <c r="H248" s="2">
        <f t="shared" si="18"/>
        <v>0</v>
      </c>
      <c r="I248" s="2">
        <f t="shared" si="18"/>
        <v>0</v>
      </c>
      <c r="J248" s="2">
        <f t="shared" si="18"/>
        <v>0</v>
      </c>
      <c r="K248" s="2">
        <f t="shared" si="18"/>
        <v>0</v>
      </c>
      <c r="L248" s="2">
        <f t="shared" si="18"/>
        <v>0</v>
      </c>
    </row>
    <row r="249" spans="1:12" hidden="1" x14ac:dyDescent="0.25">
      <c r="A249" t="s">
        <v>8</v>
      </c>
      <c r="B249" t="s">
        <v>285</v>
      </c>
      <c r="C249" s="2"/>
      <c r="D249" s="2">
        <v>0</v>
      </c>
      <c r="E249" s="2">
        <v>0</v>
      </c>
      <c r="F249" s="2">
        <v>0</v>
      </c>
      <c r="G249" s="30">
        <v>0</v>
      </c>
      <c r="H249" s="2">
        <f t="shared" si="18"/>
        <v>0</v>
      </c>
      <c r="I249" s="2">
        <f t="shared" si="18"/>
        <v>0</v>
      </c>
      <c r="J249" s="2">
        <f t="shared" si="18"/>
        <v>0</v>
      </c>
      <c r="K249" s="2">
        <f t="shared" si="18"/>
        <v>0</v>
      </c>
      <c r="L249" s="2">
        <f t="shared" si="18"/>
        <v>0</v>
      </c>
    </row>
    <row r="250" spans="1:12" hidden="1" x14ac:dyDescent="0.25">
      <c r="A250" t="s">
        <v>8</v>
      </c>
      <c r="B250" t="s">
        <v>286</v>
      </c>
      <c r="C250" s="2"/>
      <c r="D250" s="2">
        <v>0</v>
      </c>
      <c r="E250" s="2">
        <v>0</v>
      </c>
      <c r="F250" s="2">
        <v>0</v>
      </c>
      <c r="G250" s="30">
        <v>0</v>
      </c>
      <c r="H250" s="2">
        <f t="shared" si="18"/>
        <v>0</v>
      </c>
      <c r="I250" s="2">
        <f t="shared" si="18"/>
        <v>0</v>
      </c>
      <c r="J250" s="2">
        <f t="shared" si="18"/>
        <v>0</v>
      </c>
      <c r="K250" s="2">
        <f t="shared" si="18"/>
        <v>0</v>
      </c>
      <c r="L250" s="2">
        <f t="shared" si="18"/>
        <v>0</v>
      </c>
    </row>
    <row r="251" spans="1:12" hidden="1" x14ac:dyDescent="0.25">
      <c r="A251" t="s">
        <v>8</v>
      </c>
      <c r="B251" t="s">
        <v>287</v>
      </c>
      <c r="C251" s="2"/>
      <c r="D251" s="2">
        <v>0</v>
      </c>
      <c r="E251" s="2">
        <v>0</v>
      </c>
      <c r="F251" s="2">
        <v>0</v>
      </c>
      <c r="G251" s="30">
        <v>0</v>
      </c>
      <c r="H251" s="2">
        <f t="shared" si="18"/>
        <v>0</v>
      </c>
      <c r="I251" s="2">
        <f t="shared" si="18"/>
        <v>0</v>
      </c>
      <c r="J251" s="2">
        <f t="shared" si="18"/>
        <v>0</v>
      </c>
      <c r="K251" s="2">
        <f t="shared" si="18"/>
        <v>0</v>
      </c>
      <c r="L251" s="2">
        <f t="shared" si="18"/>
        <v>0</v>
      </c>
    </row>
    <row r="252" spans="1:12" hidden="1" x14ac:dyDescent="0.25">
      <c r="A252" t="s">
        <v>8</v>
      </c>
      <c r="B252" t="s">
        <v>288</v>
      </c>
      <c r="C252" s="2"/>
      <c r="D252" s="2">
        <v>-302071000</v>
      </c>
      <c r="E252" s="2">
        <v>136895000</v>
      </c>
      <c r="F252" s="2">
        <v>246521000</v>
      </c>
      <c r="G252" s="30">
        <v>157292000</v>
      </c>
      <c r="H252" s="2">
        <f t="shared" si="18"/>
        <v>0</v>
      </c>
      <c r="I252" s="2">
        <f t="shared" si="18"/>
        <v>0</v>
      </c>
      <c r="J252" s="2">
        <f t="shared" si="18"/>
        <v>0</v>
      </c>
      <c r="K252" s="2">
        <f t="shared" si="18"/>
        <v>0</v>
      </c>
      <c r="L252" s="2">
        <f t="shared" si="18"/>
        <v>0</v>
      </c>
    </row>
    <row r="253" spans="1:12" hidden="1" x14ac:dyDescent="0.25">
      <c r="B253" t="s">
        <v>289</v>
      </c>
      <c r="C253" s="2"/>
      <c r="D253" s="2">
        <v>0</v>
      </c>
      <c r="E253" s="2">
        <v>0</v>
      </c>
      <c r="F253" s="2">
        <v>0</v>
      </c>
      <c r="G253" s="30">
        <v>0</v>
      </c>
      <c r="H253" s="2">
        <f t="shared" si="18"/>
        <v>0</v>
      </c>
      <c r="I253" s="2">
        <f t="shared" si="18"/>
        <v>0</v>
      </c>
      <c r="J253" s="2">
        <f t="shared" si="18"/>
        <v>0</v>
      </c>
      <c r="K253" s="2">
        <f t="shared" si="18"/>
        <v>0</v>
      </c>
      <c r="L253" s="2">
        <f t="shared" si="18"/>
        <v>0</v>
      </c>
    </row>
    <row r="254" spans="1:12" hidden="1" x14ac:dyDescent="0.25">
      <c r="A254" t="s">
        <v>8</v>
      </c>
      <c r="B254" t="s">
        <v>290</v>
      </c>
      <c r="C254" s="2"/>
      <c r="D254" s="2">
        <v>0</v>
      </c>
      <c r="E254" s="2">
        <v>0</v>
      </c>
      <c r="F254" s="2">
        <v>0</v>
      </c>
      <c r="G254" s="30">
        <v>0</v>
      </c>
      <c r="H254" s="2">
        <f t="shared" si="18"/>
        <v>0</v>
      </c>
      <c r="I254" s="2">
        <f t="shared" si="18"/>
        <v>0</v>
      </c>
      <c r="J254" s="2">
        <f t="shared" si="18"/>
        <v>0</v>
      </c>
      <c r="K254" s="2">
        <f t="shared" si="18"/>
        <v>0</v>
      </c>
      <c r="L254" s="2">
        <f t="shared" si="18"/>
        <v>0</v>
      </c>
    </row>
    <row r="255" spans="1:12" hidden="1" x14ac:dyDescent="0.25">
      <c r="A255" t="s">
        <v>8</v>
      </c>
      <c r="B255" t="s">
        <v>291</v>
      </c>
      <c r="C255" s="2"/>
      <c r="D255" s="2">
        <v>0</v>
      </c>
      <c r="E255" s="2">
        <v>0</v>
      </c>
      <c r="F255" s="2">
        <v>0</v>
      </c>
      <c r="G255" s="30">
        <v>0</v>
      </c>
      <c r="H255" s="2">
        <f t="shared" si="18"/>
        <v>0</v>
      </c>
      <c r="I255" s="2">
        <f t="shared" si="18"/>
        <v>0</v>
      </c>
      <c r="J255" s="2">
        <f t="shared" si="18"/>
        <v>0</v>
      </c>
      <c r="K255" s="2">
        <f t="shared" si="18"/>
        <v>0</v>
      </c>
      <c r="L255" s="2">
        <f t="shared" si="18"/>
        <v>0</v>
      </c>
    </row>
    <row r="256" spans="1:12" hidden="1" x14ac:dyDescent="0.25">
      <c r="A256" t="s">
        <v>8</v>
      </c>
      <c r="B256" t="s">
        <v>292</v>
      </c>
      <c r="C256" s="2"/>
      <c r="D256" s="2">
        <v>0</v>
      </c>
      <c r="E256" s="2">
        <v>0</v>
      </c>
      <c r="F256" s="2">
        <v>0</v>
      </c>
      <c r="G256" s="30">
        <v>0</v>
      </c>
      <c r="H256" s="2">
        <f t="shared" si="18"/>
        <v>0</v>
      </c>
      <c r="I256" s="2">
        <f t="shared" si="18"/>
        <v>0</v>
      </c>
      <c r="J256" s="2">
        <f t="shared" si="18"/>
        <v>0</v>
      </c>
      <c r="K256" s="2">
        <f t="shared" si="18"/>
        <v>0</v>
      </c>
      <c r="L256" s="2">
        <f t="shared" si="18"/>
        <v>0</v>
      </c>
    </row>
    <row r="257" spans="1:12" hidden="1" x14ac:dyDescent="0.25">
      <c r="A257" t="s">
        <v>8</v>
      </c>
      <c r="B257" t="s">
        <v>293</v>
      </c>
      <c r="C257" s="2"/>
      <c r="D257" s="2">
        <v>0</v>
      </c>
      <c r="E257" s="2">
        <v>0</v>
      </c>
      <c r="F257" s="2">
        <v>0</v>
      </c>
      <c r="G257" s="30">
        <v>0</v>
      </c>
      <c r="H257" s="2">
        <f t="shared" si="18"/>
        <v>0</v>
      </c>
      <c r="I257" s="2">
        <f t="shared" si="18"/>
        <v>0</v>
      </c>
      <c r="J257" s="2">
        <f t="shared" si="18"/>
        <v>0</v>
      </c>
      <c r="K257" s="2">
        <f t="shared" si="18"/>
        <v>0</v>
      </c>
      <c r="L257" s="2">
        <f t="shared" si="18"/>
        <v>0</v>
      </c>
    </row>
    <row r="258" spans="1:12" hidden="1" x14ac:dyDescent="0.25">
      <c r="A258" t="s">
        <v>8</v>
      </c>
      <c r="B258" t="s">
        <v>294</v>
      </c>
      <c r="C258" s="2"/>
      <c r="D258" s="2">
        <v>0</v>
      </c>
      <c r="E258" s="2">
        <v>0</v>
      </c>
      <c r="F258" s="2">
        <v>0</v>
      </c>
      <c r="G258" s="30">
        <v>0</v>
      </c>
      <c r="H258" s="2">
        <f t="shared" si="18"/>
        <v>0</v>
      </c>
      <c r="I258" s="2">
        <f t="shared" si="18"/>
        <v>0</v>
      </c>
      <c r="J258" s="2">
        <f t="shared" si="18"/>
        <v>0</v>
      </c>
      <c r="K258" s="2">
        <f t="shared" si="18"/>
        <v>0</v>
      </c>
      <c r="L258" s="2">
        <f t="shared" si="18"/>
        <v>0</v>
      </c>
    </row>
    <row r="259" spans="1:12" hidden="1" x14ac:dyDescent="0.25">
      <c r="A259" t="s">
        <v>8</v>
      </c>
      <c r="B259" t="s">
        <v>295</v>
      </c>
      <c r="C259" s="2"/>
      <c r="D259" s="2">
        <v>0</v>
      </c>
      <c r="E259" s="2">
        <v>0</v>
      </c>
      <c r="F259" s="2">
        <v>0</v>
      </c>
      <c r="G259" s="30">
        <v>0</v>
      </c>
      <c r="H259" s="2">
        <f t="shared" si="18"/>
        <v>0</v>
      </c>
      <c r="I259" s="2">
        <f t="shared" si="18"/>
        <v>0</v>
      </c>
      <c r="J259" s="2">
        <f t="shared" si="18"/>
        <v>0</v>
      </c>
      <c r="K259" s="2">
        <f t="shared" si="18"/>
        <v>0</v>
      </c>
      <c r="L259" s="2">
        <f t="shared" si="18"/>
        <v>0</v>
      </c>
    </row>
    <row r="260" spans="1:12" hidden="1" x14ac:dyDescent="0.25">
      <c r="B260" t="s">
        <v>296</v>
      </c>
      <c r="C260" s="2"/>
      <c r="D260" s="2">
        <v>90314905000</v>
      </c>
      <c r="E260" s="2">
        <v>69172513000</v>
      </c>
      <c r="F260" s="2">
        <v>176733918000</v>
      </c>
      <c r="G260" s="30">
        <v>122728858000</v>
      </c>
      <c r="H260" s="2">
        <f t="shared" si="18"/>
        <v>136830368193.00586</v>
      </c>
      <c r="I260" s="2">
        <f t="shared" si="18"/>
        <v>159267848137.3269</v>
      </c>
      <c r="J260" s="2">
        <f t="shared" si="18"/>
        <v>175108789690.19019</v>
      </c>
      <c r="K260" s="2">
        <f t="shared" si="18"/>
        <v>213348720944.02344</v>
      </c>
      <c r="L260" s="2">
        <f t="shared" si="18"/>
        <v>256555260312.03516</v>
      </c>
    </row>
    <row r="261" spans="1:12" hidden="1" x14ac:dyDescent="0.25">
      <c r="B261" t="s">
        <v>297</v>
      </c>
      <c r="C261" s="2"/>
      <c r="D261" s="2">
        <v>90314905000</v>
      </c>
      <c r="E261" s="2">
        <v>69172513000</v>
      </c>
      <c r="F261" s="2">
        <v>176733918000</v>
      </c>
      <c r="G261" s="30">
        <v>122728858000</v>
      </c>
      <c r="H261" s="2">
        <f t="shared" ref="H261:L276" si="19">(H133-G133)</f>
        <v>136830368193.00586</v>
      </c>
      <c r="I261" s="2">
        <f t="shared" si="19"/>
        <v>159267848137.3269</v>
      </c>
      <c r="J261" s="2">
        <f t="shared" si="19"/>
        <v>175108789690.19019</v>
      </c>
      <c r="K261" s="2">
        <f t="shared" si="19"/>
        <v>213348720944.02344</v>
      </c>
      <c r="L261" s="2">
        <f t="shared" si="19"/>
        <v>256555260312.03516</v>
      </c>
    </row>
    <row r="262" spans="1:12" hidden="1" x14ac:dyDescent="0.25">
      <c r="B262" t="s">
        <v>298</v>
      </c>
      <c r="C262" s="2"/>
      <c r="D262" s="2">
        <v>80136680000</v>
      </c>
      <c r="E262" s="2">
        <v>0</v>
      </c>
      <c r="F262" s="2">
        <v>0</v>
      </c>
      <c r="G262" s="30">
        <v>0</v>
      </c>
      <c r="H262" s="2">
        <f t="shared" si="19"/>
        <v>0</v>
      </c>
      <c r="I262" s="2">
        <f t="shared" si="19"/>
        <v>0</v>
      </c>
      <c r="J262" s="2">
        <f t="shared" si="19"/>
        <v>0</v>
      </c>
      <c r="K262" s="2">
        <f t="shared" si="19"/>
        <v>0</v>
      </c>
      <c r="L262" s="2">
        <f t="shared" si="19"/>
        <v>0</v>
      </c>
    </row>
    <row r="263" spans="1:12" hidden="1" x14ac:dyDescent="0.25">
      <c r="B263" t="s">
        <v>299</v>
      </c>
      <c r="C263" s="2"/>
      <c r="D263" s="2">
        <v>80136680000</v>
      </c>
      <c r="E263" s="2">
        <v>0</v>
      </c>
      <c r="F263" s="2">
        <v>0</v>
      </c>
      <c r="G263" s="30">
        <v>0</v>
      </c>
      <c r="H263" s="2">
        <f t="shared" si="19"/>
        <v>0</v>
      </c>
      <c r="I263" s="2">
        <f t="shared" si="19"/>
        <v>0</v>
      </c>
      <c r="J263" s="2">
        <f t="shared" si="19"/>
        <v>0</v>
      </c>
      <c r="K263" s="2">
        <f t="shared" si="19"/>
        <v>0</v>
      </c>
      <c r="L263" s="2">
        <f t="shared" si="19"/>
        <v>0</v>
      </c>
    </row>
    <row r="264" spans="1:12" hidden="1" x14ac:dyDescent="0.25">
      <c r="B264" t="s">
        <v>300</v>
      </c>
      <c r="C264" s="2"/>
      <c r="D264" s="2">
        <v>0</v>
      </c>
      <c r="E264" s="2">
        <v>0</v>
      </c>
      <c r="F264" s="2">
        <v>0</v>
      </c>
      <c r="G264" s="30">
        <v>0</v>
      </c>
      <c r="H264" s="2">
        <f t="shared" si="19"/>
        <v>0</v>
      </c>
      <c r="I264" s="2">
        <f t="shared" si="19"/>
        <v>0</v>
      </c>
      <c r="J264" s="2">
        <f t="shared" si="19"/>
        <v>0</v>
      </c>
      <c r="K264" s="2">
        <f t="shared" si="19"/>
        <v>0</v>
      </c>
      <c r="L264" s="2">
        <f t="shared" si="19"/>
        <v>0</v>
      </c>
    </row>
    <row r="265" spans="1:12" hidden="1" x14ac:dyDescent="0.25">
      <c r="B265" t="s">
        <v>301</v>
      </c>
      <c r="C265" s="2"/>
      <c r="D265" s="2">
        <v>-80136680000</v>
      </c>
      <c r="E265" s="2">
        <v>0</v>
      </c>
      <c r="F265" s="2">
        <v>0</v>
      </c>
      <c r="G265" s="30">
        <v>0</v>
      </c>
      <c r="H265" s="2">
        <f t="shared" si="19"/>
        <v>0</v>
      </c>
      <c r="I265" s="2">
        <f t="shared" si="19"/>
        <v>0</v>
      </c>
      <c r="J265" s="2">
        <f t="shared" si="19"/>
        <v>0</v>
      </c>
      <c r="K265" s="2">
        <f t="shared" si="19"/>
        <v>0</v>
      </c>
      <c r="L265" s="2">
        <f t="shared" si="19"/>
        <v>0</v>
      </c>
    </row>
    <row r="266" spans="1:12" hidden="1" x14ac:dyDescent="0.25">
      <c r="B266" t="s">
        <v>302</v>
      </c>
      <c r="C266" s="2"/>
      <c r="D266" s="2">
        <v>0</v>
      </c>
      <c r="E266" s="2">
        <v>0</v>
      </c>
      <c r="F266" s="2">
        <v>0</v>
      </c>
      <c r="G266" s="30">
        <v>0</v>
      </c>
      <c r="H266" s="2">
        <f t="shared" si="19"/>
        <v>0</v>
      </c>
      <c r="I266" s="2">
        <f t="shared" si="19"/>
        <v>0</v>
      </c>
      <c r="J266" s="2">
        <f t="shared" si="19"/>
        <v>0</v>
      </c>
      <c r="K266" s="2">
        <f t="shared" si="19"/>
        <v>0</v>
      </c>
      <c r="L266" s="2">
        <f t="shared" si="19"/>
        <v>0</v>
      </c>
    </row>
    <row r="267" spans="1:12" hidden="1" x14ac:dyDescent="0.25">
      <c r="B267" t="s">
        <v>303</v>
      </c>
      <c r="C267" s="2"/>
      <c r="D267" s="2">
        <v>0</v>
      </c>
      <c r="E267" s="2">
        <v>0</v>
      </c>
      <c r="F267" s="2">
        <v>0</v>
      </c>
      <c r="G267" s="30">
        <v>0</v>
      </c>
      <c r="H267" s="2">
        <f t="shared" si="19"/>
        <v>0</v>
      </c>
      <c r="I267" s="2">
        <f t="shared" si="19"/>
        <v>0</v>
      </c>
      <c r="J267" s="2">
        <f t="shared" si="19"/>
        <v>0</v>
      </c>
      <c r="K267" s="2">
        <f t="shared" si="19"/>
        <v>0</v>
      </c>
      <c r="L267" s="2">
        <f t="shared" si="19"/>
        <v>0</v>
      </c>
    </row>
    <row r="268" spans="1:12" hidden="1" x14ac:dyDescent="0.25">
      <c r="B268" t="s">
        <v>304</v>
      </c>
      <c r="C268" s="2"/>
      <c r="D268" s="2">
        <v>0</v>
      </c>
      <c r="E268" s="2">
        <v>0</v>
      </c>
      <c r="F268" s="2">
        <v>0</v>
      </c>
      <c r="G268" s="30">
        <v>0</v>
      </c>
      <c r="H268" s="2">
        <f t="shared" si="19"/>
        <v>0</v>
      </c>
      <c r="I268" s="2">
        <f t="shared" si="19"/>
        <v>0</v>
      </c>
      <c r="J268" s="2">
        <f t="shared" si="19"/>
        <v>0</v>
      </c>
      <c r="K268" s="2">
        <f t="shared" si="19"/>
        <v>0</v>
      </c>
      <c r="L268" s="2">
        <f t="shared" si="19"/>
        <v>0</v>
      </c>
    </row>
    <row r="269" spans="1:12" hidden="1" x14ac:dyDescent="0.25">
      <c r="B269" t="s">
        <v>305</v>
      </c>
      <c r="C269" s="2"/>
      <c r="D269" s="2">
        <v>0</v>
      </c>
      <c r="E269" s="2">
        <v>0</v>
      </c>
      <c r="F269" s="2">
        <v>0</v>
      </c>
      <c r="G269" s="30">
        <v>0</v>
      </c>
      <c r="H269" s="2">
        <f t="shared" si="19"/>
        <v>0</v>
      </c>
      <c r="I269" s="2">
        <f t="shared" si="19"/>
        <v>0</v>
      </c>
      <c r="J269" s="2">
        <f t="shared" si="19"/>
        <v>0</v>
      </c>
      <c r="K269" s="2">
        <f t="shared" si="19"/>
        <v>0</v>
      </c>
      <c r="L269" s="2">
        <f t="shared" si="19"/>
        <v>0</v>
      </c>
    </row>
    <row r="270" spans="1:12" hidden="1" x14ac:dyDescent="0.25">
      <c r="B270" t="s">
        <v>306</v>
      </c>
      <c r="C270" s="2"/>
      <c r="D270" s="2">
        <v>0</v>
      </c>
      <c r="E270" s="2">
        <v>0</v>
      </c>
      <c r="F270" s="2">
        <v>0</v>
      </c>
      <c r="G270" s="30">
        <v>0</v>
      </c>
      <c r="H270" s="2">
        <f t="shared" si="19"/>
        <v>0</v>
      </c>
      <c r="I270" s="2">
        <f t="shared" si="19"/>
        <v>0</v>
      </c>
      <c r="J270" s="2">
        <f t="shared" si="19"/>
        <v>0</v>
      </c>
      <c r="K270" s="2">
        <f t="shared" si="19"/>
        <v>0</v>
      </c>
      <c r="L270" s="2">
        <f t="shared" si="19"/>
        <v>0</v>
      </c>
    </row>
    <row r="271" spans="1:12" hidden="1" x14ac:dyDescent="0.25">
      <c r="B271" t="s">
        <v>307</v>
      </c>
      <c r="C271" s="2"/>
      <c r="D271" s="2">
        <v>63232710000</v>
      </c>
      <c r="E271" s="2">
        <v>83260807000</v>
      </c>
      <c r="F271" s="2">
        <v>103533036000</v>
      </c>
      <c r="G271" s="30">
        <v>118865912000</v>
      </c>
      <c r="H271" s="2">
        <f t="shared" si="19"/>
        <v>118865912000</v>
      </c>
      <c r="I271" s="2">
        <f t="shared" si="19"/>
        <v>128044949259.56458</v>
      </c>
      <c r="J271" s="2">
        <f t="shared" si="19"/>
        <v>143998459519.93457</v>
      </c>
      <c r="K271" s="2">
        <f t="shared" si="19"/>
        <v>159894452186.01477</v>
      </c>
      <c r="L271" s="2">
        <f t="shared" si="19"/>
        <v>187207201986.41333</v>
      </c>
    </row>
    <row r="272" spans="1:12" hidden="1" x14ac:dyDescent="0.25">
      <c r="B272" t="s">
        <v>308</v>
      </c>
      <c r="C272" s="2"/>
      <c r="D272" s="2">
        <v>0</v>
      </c>
      <c r="E272" s="2">
        <v>0</v>
      </c>
      <c r="F272" s="2">
        <v>0</v>
      </c>
      <c r="G272" s="30">
        <v>0</v>
      </c>
      <c r="H272" s="2">
        <f t="shared" si="19"/>
        <v>0</v>
      </c>
      <c r="I272" s="2">
        <f t="shared" si="19"/>
        <v>0</v>
      </c>
      <c r="J272" s="2">
        <f t="shared" si="19"/>
        <v>0</v>
      </c>
      <c r="K272" s="2">
        <f t="shared" si="19"/>
        <v>0</v>
      </c>
      <c r="L272" s="2">
        <f t="shared" si="19"/>
        <v>0</v>
      </c>
    </row>
    <row r="273" spans="1:12" hidden="1" x14ac:dyDescent="0.25">
      <c r="B273" t="s">
        <v>309</v>
      </c>
      <c r="C273" s="2"/>
      <c r="D273" s="2">
        <v>0</v>
      </c>
      <c r="E273" s="2">
        <v>0</v>
      </c>
      <c r="F273" s="2">
        <v>0</v>
      </c>
      <c r="G273" s="30">
        <v>0</v>
      </c>
      <c r="H273" s="2">
        <f t="shared" si="19"/>
        <v>0</v>
      </c>
      <c r="I273" s="2">
        <f t="shared" si="19"/>
        <v>0</v>
      </c>
      <c r="J273" s="2">
        <f t="shared" si="19"/>
        <v>0</v>
      </c>
      <c r="K273" s="2">
        <f t="shared" si="19"/>
        <v>0</v>
      </c>
      <c r="L273" s="2">
        <f t="shared" si="19"/>
        <v>0</v>
      </c>
    </row>
    <row r="274" spans="1:12" hidden="1" x14ac:dyDescent="0.25">
      <c r="B274" t="s">
        <v>310</v>
      </c>
      <c r="C274" s="2"/>
      <c r="D274" s="2">
        <v>27082195000</v>
      </c>
      <c r="E274" s="2">
        <v>-14088294000</v>
      </c>
      <c r="F274" s="2">
        <v>73200882000</v>
      </c>
      <c r="G274" s="30">
        <v>3862945000</v>
      </c>
      <c r="H274" s="2">
        <f t="shared" si="19"/>
        <v>17964457193.005798</v>
      </c>
      <c r="I274" s="2">
        <f t="shared" si="19"/>
        <v>31222898877.762329</v>
      </c>
      <c r="J274" s="2">
        <f t="shared" si="19"/>
        <v>31110330170.255554</v>
      </c>
      <c r="K274" s="2">
        <f t="shared" si="19"/>
        <v>53454268758.00885</v>
      </c>
      <c r="L274" s="2">
        <f t="shared" si="19"/>
        <v>69348058325.621704</v>
      </c>
    </row>
    <row r="275" spans="1:12" hidden="1" x14ac:dyDescent="0.25">
      <c r="B275" t="s">
        <v>311</v>
      </c>
      <c r="C275" s="2"/>
      <c r="D275" s="2">
        <v>0</v>
      </c>
      <c r="E275" s="2">
        <v>-1017585000</v>
      </c>
      <c r="F275" s="2">
        <v>0</v>
      </c>
      <c r="G275" s="30">
        <v>0</v>
      </c>
      <c r="H275" s="2">
        <f t="shared" si="19"/>
        <v>232634592000</v>
      </c>
      <c r="I275" s="2">
        <f t="shared" si="19"/>
        <v>17964457193.005798</v>
      </c>
      <c r="J275" s="2">
        <f t="shared" si="19"/>
        <v>31222898877.762329</v>
      </c>
      <c r="K275" s="2">
        <f t="shared" si="19"/>
        <v>31110330170.255554</v>
      </c>
      <c r="L275" s="2">
        <f t="shared" si="19"/>
        <v>53454268758.00885</v>
      </c>
    </row>
    <row r="276" spans="1:12" hidden="1" x14ac:dyDescent="0.25">
      <c r="B276" t="s">
        <v>312</v>
      </c>
      <c r="C276" s="2"/>
      <c r="D276" s="2">
        <v>27082196000</v>
      </c>
      <c r="E276" s="2">
        <v>-13070710000</v>
      </c>
      <c r="F276" s="2">
        <v>73200882000</v>
      </c>
      <c r="G276" s="30">
        <v>3862945000</v>
      </c>
      <c r="H276" s="2">
        <f t="shared" si="19"/>
        <v>-214670134806.9942</v>
      </c>
      <c r="I276" s="2">
        <f t="shared" si="19"/>
        <v>13258441684.756538</v>
      </c>
      <c r="J276" s="2">
        <f t="shared" si="19"/>
        <v>-112568707.50682831</v>
      </c>
      <c r="K276" s="2">
        <f t="shared" si="19"/>
        <v>22343938587.753326</v>
      </c>
      <c r="L276" s="2">
        <f t="shared" si="19"/>
        <v>15893789567.612869</v>
      </c>
    </row>
    <row r="277" spans="1:12" hidden="1" x14ac:dyDescent="0.25">
      <c r="B277" t="s">
        <v>313</v>
      </c>
      <c r="C277" s="2"/>
      <c r="D277" s="2">
        <v>0</v>
      </c>
      <c r="E277" s="2">
        <v>0</v>
      </c>
      <c r="F277" s="2">
        <v>0</v>
      </c>
      <c r="G277" s="30">
        <v>0</v>
      </c>
      <c r="H277" s="2">
        <f t="shared" ref="H277:L284" si="20">(H149-G149)</f>
        <v>0</v>
      </c>
      <c r="I277" s="2">
        <f t="shared" si="20"/>
        <v>0</v>
      </c>
      <c r="J277" s="2">
        <f t="shared" si="20"/>
        <v>0</v>
      </c>
      <c r="K277" s="2">
        <f t="shared" si="20"/>
        <v>0</v>
      </c>
      <c r="L277" s="2">
        <f t="shared" si="20"/>
        <v>0</v>
      </c>
    </row>
    <row r="278" spans="1:12" hidden="1" x14ac:dyDescent="0.25">
      <c r="B278" t="s">
        <v>314</v>
      </c>
      <c r="C278" s="2"/>
      <c r="D278" s="2">
        <v>0</v>
      </c>
      <c r="E278" s="2">
        <v>0</v>
      </c>
      <c r="F278" s="2">
        <v>0</v>
      </c>
      <c r="G278" s="30">
        <v>0</v>
      </c>
      <c r="H278" s="2">
        <f t="shared" si="20"/>
        <v>0</v>
      </c>
      <c r="I278" s="2">
        <f t="shared" si="20"/>
        <v>0</v>
      </c>
      <c r="J278" s="2">
        <f t="shared" si="20"/>
        <v>0</v>
      </c>
      <c r="K278" s="2">
        <f t="shared" si="20"/>
        <v>0</v>
      </c>
      <c r="L278" s="2">
        <f t="shared" si="20"/>
        <v>0</v>
      </c>
    </row>
    <row r="279" spans="1:12" hidden="1" x14ac:dyDescent="0.25">
      <c r="B279" t="s">
        <v>315</v>
      </c>
      <c r="C279" s="2"/>
      <c r="D279" s="2">
        <v>0</v>
      </c>
      <c r="E279" s="2">
        <v>0</v>
      </c>
      <c r="F279" s="2">
        <v>0</v>
      </c>
      <c r="G279" s="30">
        <v>0</v>
      </c>
      <c r="H279" s="2">
        <f t="shared" si="20"/>
        <v>0</v>
      </c>
      <c r="I279" s="2">
        <f t="shared" si="20"/>
        <v>0</v>
      </c>
      <c r="J279" s="2">
        <f t="shared" si="20"/>
        <v>0</v>
      </c>
      <c r="K279" s="2">
        <f t="shared" si="20"/>
        <v>0</v>
      </c>
      <c r="L279" s="2">
        <f t="shared" si="20"/>
        <v>0</v>
      </c>
    </row>
    <row r="280" spans="1:12" hidden="1" x14ac:dyDescent="0.25">
      <c r="B280" t="s">
        <v>316</v>
      </c>
      <c r="C280" s="2"/>
      <c r="D280" s="2">
        <v>0</v>
      </c>
      <c r="E280" s="2">
        <v>0</v>
      </c>
      <c r="F280" s="2">
        <v>0</v>
      </c>
      <c r="G280" s="30">
        <v>0</v>
      </c>
      <c r="H280" s="2">
        <f t="shared" si="20"/>
        <v>0</v>
      </c>
      <c r="I280" s="2">
        <f t="shared" si="20"/>
        <v>0</v>
      </c>
      <c r="J280" s="2">
        <f t="shared" si="20"/>
        <v>0</v>
      </c>
      <c r="K280" s="2">
        <f t="shared" si="20"/>
        <v>0</v>
      </c>
      <c r="L280" s="2">
        <f t="shared" si="20"/>
        <v>0</v>
      </c>
    </row>
    <row r="281" spans="1:12" hidden="1" x14ac:dyDescent="0.25">
      <c r="B281" t="s">
        <v>317</v>
      </c>
      <c r="C281" s="2"/>
      <c r="D281" s="2">
        <v>0</v>
      </c>
      <c r="E281" s="2">
        <v>0</v>
      </c>
      <c r="F281" s="2">
        <v>0</v>
      </c>
      <c r="G281" s="30">
        <v>0</v>
      </c>
      <c r="H281" s="2">
        <f t="shared" si="20"/>
        <v>0</v>
      </c>
      <c r="I281" s="2">
        <f t="shared" si="20"/>
        <v>0</v>
      </c>
      <c r="J281" s="2">
        <f t="shared" si="20"/>
        <v>0</v>
      </c>
      <c r="K281" s="2">
        <f t="shared" si="20"/>
        <v>0</v>
      </c>
      <c r="L281" s="2">
        <f t="shared" si="20"/>
        <v>0</v>
      </c>
    </row>
    <row r="282" spans="1:12" hidden="1" x14ac:dyDescent="0.25">
      <c r="B282" t="s">
        <v>318</v>
      </c>
      <c r="C282" s="2"/>
      <c r="D282" s="2">
        <v>0</v>
      </c>
      <c r="E282" s="2">
        <v>0</v>
      </c>
      <c r="F282" s="2">
        <v>0</v>
      </c>
      <c r="G282" s="30">
        <v>0</v>
      </c>
      <c r="H282" s="2">
        <f t="shared" si="20"/>
        <v>0</v>
      </c>
      <c r="I282" s="2">
        <f t="shared" si="20"/>
        <v>0</v>
      </c>
      <c r="J282" s="2">
        <f t="shared" si="20"/>
        <v>0</v>
      </c>
      <c r="K282" s="2">
        <f t="shared" si="20"/>
        <v>0</v>
      </c>
      <c r="L282" s="2">
        <f t="shared" si="20"/>
        <v>0</v>
      </c>
    </row>
    <row r="283" spans="1:12" hidden="1" x14ac:dyDescent="0.25">
      <c r="A283" t="s">
        <v>8</v>
      </c>
      <c r="B283" t="s">
        <v>319</v>
      </c>
      <c r="C283" s="2"/>
      <c r="D283" s="2">
        <v>0</v>
      </c>
      <c r="E283" s="2">
        <v>0</v>
      </c>
      <c r="F283" s="2">
        <v>0</v>
      </c>
      <c r="G283" s="30">
        <v>0</v>
      </c>
      <c r="H283" s="2">
        <f t="shared" si="20"/>
        <v>0</v>
      </c>
      <c r="I283" s="2">
        <f t="shared" si="20"/>
        <v>0</v>
      </c>
      <c r="J283" s="2">
        <f t="shared" si="20"/>
        <v>0</v>
      </c>
      <c r="K283" s="2">
        <f t="shared" si="20"/>
        <v>0</v>
      </c>
      <c r="L283" s="2">
        <f t="shared" si="20"/>
        <v>0</v>
      </c>
    </row>
    <row r="284" spans="1:12" hidden="1" x14ac:dyDescent="0.25">
      <c r="B284" t="s">
        <v>320</v>
      </c>
      <c r="C284" s="2"/>
      <c r="D284" s="2">
        <v>95970977000</v>
      </c>
      <c r="E284" s="2">
        <v>221479195000</v>
      </c>
      <c r="F284" s="2">
        <v>159615518000</v>
      </c>
      <c r="G284" s="30">
        <v>67963657000</v>
      </c>
      <c r="H284" s="2">
        <f t="shared" si="20"/>
        <v>126651481872.19531</v>
      </c>
      <c r="I284" s="2">
        <f t="shared" si="20"/>
        <v>232651277988.58521</v>
      </c>
      <c r="J284" s="2">
        <f t="shared" si="20"/>
        <v>184325875464.72095</v>
      </c>
      <c r="K284" s="2">
        <f t="shared" si="20"/>
        <v>338513085285.86572</v>
      </c>
      <c r="L284" s="2">
        <f t="shared" si="20"/>
        <v>333521592921.06934</v>
      </c>
    </row>
    <row r="285" spans="1:12" hidden="1" x14ac:dyDescent="0.25"/>
    <row r="286" spans="1:12" x14ac:dyDescent="0.25">
      <c r="B286" s="6" t="s">
        <v>13</v>
      </c>
      <c r="C286" s="31">
        <v>2015</v>
      </c>
      <c r="D286" s="31">
        <v>2016</v>
      </c>
      <c r="E286" s="31">
        <v>2017</v>
      </c>
      <c r="F286" s="31">
        <v>2018</v>
      </c>
      <c r="G286" s="8">
        <v>2019</v>
      </c>
      <c r="H286" s="32">
        <f>G286+1</f>
        <v>2020</v>
      </c>
      <c r="I286" s="32">
        <f>H286+1</f>
        <v>2021</v>
      </c>
      <c r="J286" s="32">
        <f>I286+1</f>
        <v>2022</v>
      </c>
      <c r="K286" s="32">
        <f>J286+1</f>
        <v>2023</v>
      </c>
      <c r="L286" s="33">
        <f>K286+1</f>
        <v>2024</v>
      </c>
    </row>
    <row r="287" spans="1:12" x14ac:dyDescent="0.25">
      <c r="B287" s="15"/>
      <c r="C287" s="34"/>
      <c r="D287" s="34"/>
      <c r="E287" s="34"/>
      <c r="F287" s="34"/>
      <c r="G287" s="12"/>
      <c r="H287" s="36"/>
      <c r="I287" s="34"/>
      <c r="J287" s="34"/>
      <c r="K287" s="34"/>
      <c r="L287" s="35"/>
    </row>
    <row r="288" spans="1:12" x14ac:dyDescent="0.25">
      <c r="B288" s="15" t="s">
        <v>321</v>
      </c>
      <c r="C288" s="34"/>
      <c r="D288" s="34"/>
      <c r="E288" s="34"/>
      <c r="F288" s="34"/>
      <c r="G288" s="12"/>
      <c r="H288" s="34"/>
      <c r="I288" s="34"/>
      <c r="J288" s="34"/>
      <c r="K288" s="34"/>
      <c r="L288" s="35"/>
    </row>
    <row r="289" spans="2:13" x14ac:dyDescent="0.25">
      <c r="B289" s="15" t="s">
        <v>14</v>
      </c>
      <c r="C289" s="39">
        <v>141559279000</v>
      </c>
      <c r="D289" s="39">
        <v>168641475000</v>
      </c>
      <c r="E289" s="39">
        <v>207661963000</v>
      </c>
      <c r="F289" s="39">
        <v>228771647000</v>
      </c>
      <c r="G289" s="12">
        <v>232634592000</v>
      </c>
      <c r="H289" s="36">
        <f>H22</f>
        <v>219401907782.64047</v>
      </c>
      <c r="I289" s="36">
        <f>I22</f>
        <v>251587504706.5885</v>
      </c>
      <c r="J289" s="36">
        <f>J22</f>
        <v>281426711710.51685</v>
      </c>
      <c r="K289" s="36">
        <f>K22</f>
        <v>342445937725.8938</v>
      </c>
      <c r="L289" s="40">
        <f>L22</f>
        <v>412440803847.92621</v>
      </c>
    </row>
    <row r="290" spans="2:13" x14ac:dyDescent="0.25">
      <c r="B290" s="15" t="s">
        <v>15</v>
      </c>
      <c r="C290" s="39">
        <v>34833772000</v>
      </c>
      <c r="D290" s="39">
        <v>32150449000</v>
      </c>
      <c r="E290" s="39">
        <v>30284561000</v>
      </c>
      <c r="F290" s="39">
        <v>29456386000</v>
      </c>
      <c r="G290" s="12">
        <v>28550026000</v>
      </c>
      <c r="H290" s="11">
        <f>-TSCĐ!G10</f>
        <v>51401728114.240685</v>
      </c>
      <c r="I290" s="36">
        <f>-TSCĐ!H10</f>
        <v>50122969748.071579</v>
      </c>
      <c r="J290" s="36">
        <f>-TSCĐ!I10</f>
        <v>48168734667.417419</v>
      </c>
      <c r="K290" s="36">
        <f>-TSCĐ!J10</f>
        <v>46943297645.414322</v>
      </c>
      <c r="L290" s="40">
        <f>-TSCĐ!K10</f>
        <v>45300060014.54538</v>
      </c>
    </row>
    <row r="291" spans="2:13" x14ac:dyDescent="0.25">
      <c r="B291" s="15" t="s">
        <v>16</v>
      </c>
      <c r="C291" s="39">
        <v>20279515000</v>
      </c>
      <c r="D291" s="39">
        <v>-37841921000</v>
      </c>
      <c r="E291" s="39">
        <v>94651149000</v>
      </c>
      <c r="F291" s="39">
        <v>-199611846000</v>
      </c>
      <c r="G291" s="12">
        <v>-118542429000</v>
      </c>
      <c r="H291" s="41">
        <f>-(H41-G41+H50-G50+H53-G53)+(SUM(H103:H111)-SUM(G103:G111)+H113-G113)</f>
        <v>138311255147.40454</v>
      </c>
      <c r="I291" s="41">
        <f>-(I41-H41+I50-H50+I53-H53)+(SUM(I103:I111)-SUM(H103:H111)+I113-H113)</f>
        <v>-239648330975.7301</v>
      </c>
      <c r="J291" s="41">
        <f>-(J41-I41+J50-I50+J53-I53)+(SUM(J103:J111)-SUM(I103:I111)+J113-I113)</f>
        <v>46998832845.666283</v>
      </c>
      <c r="K291" s="41">
        <f>-(K41-J41+K50-J50+K53-J53)+(SUM(K103:K111)-SUM(J103:J111)+K113-J113)</f>
        <v>-349371582681.98633</v>
      </c>
      <c r="L291" s="41">
        <f>-(L41-K41+L50-K50+L53-K53)+(SUM(L103:L111)-SUM(K103:K111)+L113-K113)</f>
        <v>-103347374297.66891</v>
      </c>
      <c r="M291" s="42" t="s">
        <v>8</v>
      </c>
    </row>
    <row r="292" spans="2:13" x14ac:dyDescent="0.25">
      <c r="B292" s="15" t="s">
        <v>17</v>
      </c>
      <c r="C292" s="39">
        <v>-29690482000</v>
      </c>
      <c r="D292" s="39">
        <v>-27542549000</v>
      </c>
      <c r="E292" s="39">
        <v>-30719219000</v>
      </c>
      <c r="F292" s="39">
        <v>-31785082000</v>
      </c>
      <c r="G292" s="12">
        <v>-31568398000</v>
      </c>
      <c r="H292" s="12"/>
      <c r="I292" s="12"/>
      <c r="J292" s="12"/>
      <c r="K292" s="12"/>
      <c r="L292" s="12"/>
      <c r="M292" t="s">
        <v>9</v>
      </c>
    </row>
    <row r="293" spans="2:13" x14ac:dyDescent="0.25">
      <c r="B293" s="15" t="s">
        <v>322</v>
      </c>
      <c r="C293" s="11">
        <v>166982084000</v>
      </c>
      <c r="D293" s="11">
        <v>135407454000</v>
      </c>
      <c r="E293" s="11">
        <v>301878454000</v>
      </c>
      <c r="F293" s="11">
        <v>26831105000</v>
      </c>
      <c r="G293" s="12">
        <v>111073791000</v>
      </c>
      <c r="H293" s="36">
        <f>SUM(H289:H292)</f>
        <v>409114891044.28571</v>
      </c>
      <c r="I293" s="36">
        <f>SUM(I289:I292)</f>
        <v>62062143478.929993</v>
      </c>
      <c r="J293" s="36">
        <f>SUM(J289:J292)</f>
        <v>376594279223.60052</v>
      </c>
      <c r="K293" s="36">
        <f>SUM(K289:K292)</f>
        <v>40017652689.321777</v>
      </c>
      <c r="L293" s="40">
        <f>SUM(L289:L292)</f>
        <v>354393489564.80261</v>
      </c>
    </row>
    <row r="294" spans="2:13" x14ac:dyDescent="0.25">
      <c r="B294" s="15"/>
      <c r="C294" s="34"/>
      <c r="D294" s="34"/>
      <c r="E294" s="34"/>
      <c r="F294" s="34"/>
      <c r="G294" s="12"/>
      <c r="H294" s="34"/>
      <c r="I294" s="34"/>
      <c r="J294" s="34"/>
      <c r="K294" s="34"/>
      <c r="L294" s="35"/>
    </row>
    <row r="295" spans="2:13" x14ac:dyDescent="0.25">
      <c r="B295" s="15" t="s">
        <v>323</v>
      </c>
      <c r="C295" s="34">
        <v>0</v>
      </c>
      <c r="D295" s="34">
        <v>0</v>
      </c>
      <c r="E295" s="34">
        <v>0</v>
      </c>
      <c r="F295" s="34">
        <v>0</v>
      </c>
      <c r="G295" s="12">
        <v>0</v>
      </c>
      <c r="H295" s="34"/>
      <c r="I295" s="34"/>
      <c r="J295" s="34"/>
      <c r="K295" s="34"/>
      <c r="L295" s="35"/>
    </row>
    <row r="296" spans="2:13" x14ac:dyDescent="0.25">
      <c r="B296" s="15" t="s">
        <v>324</v>
      </c>
      <c r="C296" s="34">
        <v>-15250990000</v>
      </c>
      <c r="D296" s="34">
        <v>-12385353000</v>
      </c>
      <c r="E296" s="34">
        <v>-16714009000</v>
      </c>
      <c r="F296" s="34">
        <v>-41930046000</v>
      </c>
      <c r="G296" s="12">
        <v>-35203196000</v>
      </c>
      <c r="H296" s="11">
        <f>TSCĐ!G35</f>
        <v>-27319516800.207493</v>
      </c>
      <c r="I296" s="11">
        <f>TSCĐ!H35</f>
        <v>-15022453483.258385</v>
      </c>
      <c r="J296" s="11">
        <f>TSCĐ!I35</f>
        <v>-28290232638.804573</v>
      </c>
      <c r="K296" s="11">
        <f>TSCĐ!J35</f>
        <v>-20684166536.289276</v>
      </c>
      <c r="L296" s="11">
        <f>TSCĐ!K35</f>
        <v>-42498808492.388329</v>
      </c>
      <c r="M296" t="s">
        <v>10</v>
      </c>
    </row>
    <row r="297" spans="2:13" x14ac:dyDescent="0.25">
      <c r="B297" s="15" t="s">
        <v>325</v>
      </c>
      <c r="C297" s="34">
        <v>2027273000</v>
      </c>
      <c r="D297" s="34">
        <v>335351000</v>
      </c>
      <c r="E297" s="34">
        <v>801827000</v>
      </c>
      <c r="F297" s="34">
        <v>253455000</v>
      </c>
      <c r="G297" s="12">
        <v>2575827000</v>
      </c>
      <c r="H297" s="34">
        <v>0</v>
      </c>
      <c r="I297" s="34">
        <f t="shared" ref="I297:L306" si="21">H297</f>
        <v>0</v>
      </c>
      <c r="J297" s="34">
        <f t="shared" si="21"/>
        <v>0</v>
      </c>
      <c r="K297" s="34">
        <f t="shared" si="21"/>
        <v>0</v>
      </c>
      <c r="L297" s="35">
        <f t="shared" si="21"/>
        <v>0</v>
      </c>
    </row>
    <row r="298" spans="2:13" x14ac:dyDescent="0.25">
      <c r="B298" s="15" t="s">
        <v>326</v>
      </c>
      <c r="C298" s="34">
        <v>0</v>
      </c>
      <c r="D298" s="34">
        <v>0</v>
      </c>
      <c r="E298" s="34">
        <v>0</v>
      </c>
      <c r="F298" s="34">
        <v>-290000000000</v>
      </c>
      <c r="G298" s="12">
        <v>-265000000000</v>
      </c>
      <c r="H298" s="34">
        <v>0</v>
      </c>
      <c r="I298" s="34">
        <f t="shared" si="21"/>
        <v>0</v>
      </c>
      <c r="J298" s="34">
        <f t="shared" si="21"/>
        <v>0</v>
      </c>
      <c r="K298" s="34">
        <f t="shared" si="21"/>
        <v>0</v>
      </c>
      <c r="L298" s="35">
        <f t="shared" si="21"/>
        <v>0</v>
      </c>
    </row>
    <row r="299" spans="2:13" x14ac:dyDescent="0.25">
      <c r="B299" s="15" t="s">
        <v>327</v>
      </c>
      <c r="C299" s="34">
        <v>0</v>
      </c>
      <c r="D299" s="34">
        <v>0</v>
      </c>
      <c r="E299" s="34">
        <v>0</v>
      </c>
      <c r="F299" s="34">
        <v>270000000000</v>
      </c>
      <c r="G299" s="12">
        <v>295000000000</v>
      </c>
      <c r="H299" s="34">
        <v>0</v>
      </c>
      <c r="I299" s="34">
        <f t="shared" si="21"/>
        <v>0</v>
      </c>
      <c r="J299" s="34">
        <f t="shared" si="21"/>
        <v>0</v>
      </c>
      <c r="K299" s="34">
        <f t="shared" si="21"/>
        <v>0</v>
      </c>
      <c r="L299" s="35">
        <f t="shared" si="21"/>
        <v>0</v>
      </c>
    </row>
    <row r="300" spans="2:13" x14ac:dyDescent="0.25">
      <c r="B300" s="15" t="s">
        <v>328</v>
      </c>
      <c r="C300" s="34">
        <v>0</v>
      </c>
      <c r="D300" s="34">
        <v>0</v>
      </c>
      <c r="E300" s="34">
        <v>0</v>
      </c>
      <c r="F300" s="34">
        <v>0</v>
      </c>
      <c r="G300" s="12">
        <v>0</v>
      </c>
      <c r="H300" s="34">
        <v>0</v>
      </c>
      <c r="I300" s="34">
        <f t="shared" si="21"/>
        <v>0</v>
      </c>
      <c r="J300" s="34">
        <f t="shared" si="21"/>
        <v>0</v>
      </c>
      <c r="K300" s="34">
        <f t="shared" si="21"/>
        <v>0</v>
      </c>
      <c r="L300" s="35">
        <f t="shared" si="21"/>
        <v>0</v>
      </c>
    </row>
    <row r="301" spans="2:13" x14ac:dyDescent="0.25">
      <c r="B301" s="15" t="s">
        <v>329</v>
      </c>
      <c r="C301" s="34">
        <v>0</v>
      </c>
      <c r="D301" s="34">
        <v>2224434000</v>
      </c>
      <c r="E301" s="34">
        <v>0</v>
      </c>
      <c r="F301" s="34">
        <v>0</v>
      </c>
      <c r="G301" s="12">
        <v>0</v>
      </c>
      <c r="H301" s="34">
        <v>0</v>
      </c>
      <c r="I301" s="34">
        <f t="shared" si="21"/>
        <v>0</v>
      </c>
      <c r="J301" s="34">
        <f t="shared" si="21"/>
        <v>0</v>
      </c>
      <c r="K301" s="34">
        <f t="shared" si="21"/>
        <v>0</v>
      </c>
      <c r="L301" s="35">
        <f t="shared" si="21"/>
        <v>0</v>
      </c>
    </row>
    <row r="302" spans="2:13" x14ac:dyDescent="0.25">
      <c r="B302" s="15" t="s">
        <v>330</v>
      </c>
      <c r="C302" s="34">
        <v>811040000</v>
      </c>
      <c r="D302" s="34">
        <v>0</v>
      </c>
      <c r="E302" s="34">
        <v>4923052000</v>
      </c>
      <c r="F302" s="34">
        <v>18943562000</v>
      </c>
      <c r="G302" s="12">
        <v>20728565000</v>
      </c>
      <c r="H302" s="34">
        <v>0</v>
      </c>
      <c r="I302" s="34">
        <f t="shared" si="21"/>
        <v>0</v>
      </c>
      <c r="J302" s="34">
        <f t="shared" si="21"/>
        <v>0</v>
      </c>
      <c r="K302" s="34">
        <f t="shared" si="21"/>
        <v>0</v>
      </c>
      <c r="L302" s="35">
        <f t="shared" si="21"/>
        <v>0</v>
      </c>
    </row>
    <row r="303" spans="2:13" x14ac:dyDescent="0.25">
      <c r="B303" s="15" t="s">
        <v>331</v>
      </c>
      <c r="C303" s="34">
        <v>0</v>
      </c>
      <c r="D303" s="34">
        <v>-115000000000</v>
      </c>
      <c r="E303" s="34">
        <v>-155000000000</v>
      </c>
      <c r="F303" s="34">
        <v>0</v>
      </c>
      <c r="G303" s="12">
        <v>0</v>
      </c>
      <c r="H303" s="34">
        <v>0</v>
      </c>
      <c r="I303" s="34">
        <f t="shared" si="21"/>
        <v>0</v>
      </c>
      <c r="J303" s="34">
        <f t="shared" si="21"/>
        <v>0</v>
      </c>
      <c r="K303" s="34">
        <f t="shared" si="21"/>
        <v>0</v>
      </c>
      <c r="L303" s="35">
        <f t="shared" si="21"/>
        <v>0</v>
      </c>
    </row>
    <row r="304" spans="2:13" x14ac:dyDescent="0.25">
      <c r="B304" s="15" t="s">
        <v>332</v>
      </c>
      <c r="C304" s="34">
        <v>0</v>
      </c>
      <c r="D304" s="34">
        <v>0</v>
      </c>
      <c r="E304" s="34">
        <v>0</v>
      </c>
      <c r="F304" s="34">
        <v>0</v>
      </c>
      <c r="G304" s="12">
        <v>0</v>
      </c>
      <c r="H304" s="34">
        <v>0</v>
      </c>
      <c r="I304" s="34">
        <f t="shared" si="21"/>
        <v>0</v>
      </c>
      <c r="J304" s="34">
        <f t="shared" si="21"/>
        <v>0</v>
      </c>
      <c r="K304" s="34">
        <f t="shared" si="21"/>
        <v>0</v>
      </c>
      <c r="L304" s="35">
        <f t="shared" si="21"/>
        <v>0</v>
      </c>
    </row>
    <row r="305" spans="2:12" x14ac:dyDescent="0.25">
      <c r="B305" s="15" t="s">
        <v>333</v>
      </c>
      <c r="C305" s="34">
        <v>0</v>
      </c>
      <c r="D305" s="34">
        <v>0</v>
      </c>
      <c r="E305" s="34">
        <v>0</v>
      </c>
      <c r="F305" s="34">
        <v>0</v>
      </c>
      <c r="G305" s="12">
        <v>0</v>
      </c>
      <c r="H305" s="34">
        <v>0</v>
      </c>
      <c r="I305" s="34">
        <f t="shared" si="21"/>
        <v>0</v>
      </c>
      <c r="J305" s="34">
        <f t="shared" si="21"/>
        <v>0</v>
      </c>
      <c r="K305" s="34">
        <f t="shared" si="21"/>
        <v>0</v>
      </c>
      <c r="L305" s="35">
        <f t="shared" si="21"/>
        <v>0</v>
      </c>
    </row>
    <row r="306" spans="2:12" x14ac:dyDescent="0.25">
      <c r="B306" s="15" t="s">
        <v>334</v>
      </c>
      <c r="C306" s="34">
        <v>0</v>
      </c>
      <c r="D306" s="34">
        <v>0</v>
      </c>
      <c r="E306" s="34">
        <v>0</v>
      </c>
      <c r="F306" s="34">
        <v>0</v>
      </c>
      <c r="G306" s="12">
        <v>0</v>
      </c>
      <c r="H306" s="34">
        <v>0</v>
      </c>
      <c r="I306" s="34">
        <f t="shared" si="21"/>
        <v>0</v>
      </c>
      <c r="J306" s="34">
        <f t="shared" si="21"/>
        <v>0</v>
      </c>
      <c r="K306" s="34">
        <f t="shared" si="21"/>
        <v>0</v>
      </c>
      <c r="L306" s="35">
        <f t="shared" si="21"/>
        <v>0</v>
      </c>
    </row>
    <row r="307" spans="2:12" x14ac:dyDescent="0.25">
      <c r="B307" s="15" t="s">
        <v>335</v>
      </c>
      <c r="C307" s="148">
        <v>-12412677000</v>
      </c>
      <c r="D307" s="148">
        <v>-124825567000</v>
      </c>
      <c r="E307" s="148">
        <v>-165989129000</v>
      </c>
      <c r="F307" s="148">
        <v>-42733030000</v>
      </c>
      <c r="G307" s="149">
        <v>18101197000</v>
      </c>
      <c r="H307" s="36">
        <f>SUM(H296:H306)</f>
        <v>-27319516800.207493</v>
      </c>
      <c r="I307" s="36">
        <f>SUM(I296:I306)</f>
        <v>-15022453483.258385</v>
      </c>
      <c r="J307" s="36">
        <f>SUM(J296:J306)</f>
        <v>-28290232638.804573</v>
      </c>
      <c r="K307" s="36">
        <f>SUM(K296:K306)</f>
        <v>-20684166536.289276</v>
      </c>
      <c r="L307" s="40">
        <f>SUM(L296:L306)</f>
        <v>-42498808492.388329</v>
      </c>
    </row>
    <row r="308" spans="2:12" x14ac:dyDescent="0.25">
      <c r="B308" s="15"/>
      <c r="C308" s="34"/>
      <c r="D308" s="34"/>
      <c r="E308" s="34"/>
      <c r="F308" s="34"/>
      <c r="G308" s="12"/>
      <c r="H308" s="34"/>
      <c r="I308" s="34"/>
      <c r="J308" s="34"/>
      <c r="K308" s="34"/>
      <c r="L308" s="35"/>
    </row>
    <row r="309" spans="2:12" x14ac:dyDescent="0.25">
      <c r="B309" s="15" t="s">
        <v>336</v>
      </c>
      <c r="C309" s="34"/>
      <c r="D309" s="34"/>
      <c r="E309" s="34"/>
      <c r="F309" s="34"/>
      <c r="G309" s="12"/>
      <c r="H309" s="34"/>
      <c r="I309" s="34"/>
      <c r="J309" s="34"/>
      <c r="K309" s="34"/>
      <c r="L309" s="35"/>
    </row>
    <row r="310" spans="2:12" x14ac:dyDescent="0.25">
      <c r="B310" s="15" t="s">
        <v>337</v>
      </c>
      <c r="C310" s="34">
        <v>0</v>
      </c>
      <c r="D310" s="34">
        <v>0</v>
      </c>
      <c r="E310" s="34">
        <v>0</v>
      </c>
      <c r="F310" s="34">
        <v>0</v>
      </c>
      <c r="G310" s="12">
        <v>0</v>
      </c>
      <c r="H310" s="34">
        <v>0</v>
      </c>
      <c r="I310" s="34">
        <v>0</v>
      </c>
      <c r="J310" s="34">
        <v>0</v>
      </c>
      <c r="K310" s="34">
        <v>0</v>
      </c>
      <c r="L310" s="35">
        <v>0</v>
      </c>
    </row>
    <row r="311" spans="2:12" x14ac:dyDescent="0.25">
      <c r="B311" s="15" t="s">
        <v>338</v>
      </c>
      <c r="C311" s="34">
        <v>0</v>
      </c>
      <c r="D311" s="34">
        <v>0</v>
      </c>
      <c r="E311" s="34">
        <v>0</v>
      </c>
      <c r="F311" s="34">
        <v>0</v>
      </c>
      <c r="G311" s="12">
        <v>0</v>
      </c>
      <c r="H311" s="34">
        <v>0</v>
      </c>
      <c r="I311" s="34">
        <v>0</v>
      </c>
      <c r="J311" s="34">
        <v>0</v>
      </c>
      <c r="K311" s="34">
        <v>0</v>
      </c>
      <c r="L311" s="35">
        <v>0</v>
      </c>
    </row>
    <row r="312" spans="2:12" x14ac:dyDescent="0.25">
      <c r="B312" s="15" t="s">
        <v>339</v>
      </c>
      <c r="C312" s="34">
        <v>0</v>
      </c>
      <c r="D312" s="34">
        <v>0</v>
      </c>
      <c r="E312" s="34">
        <v>0</v>
      </c>
      <c r="F312" s="34">
        <v>23497576000</v>
      </c>
      <c r="G312" s="12">
        <v>0</v>
      </c>
      <c r="H312" s="39">
        <f>'DT&amp;CP tài chính'!G7</f>
        <v>22563563110.083637</v>
      </c>
      <c r="I312" s="39">
        <f>'DT&amp;CP tài chính'!H7</f>
        <v>32779916316.307602</v>
      </c>
      <c r="J312" s="39">
        <f>'DT&amp;CP tài chính'!I7</f>
        <v>30776327663.398373</v>
      </c>
      <c r="K312" s="39">
        <f>'DT&amp;CP tài chính'!J7</f>
        <v>45670249412.672424</v>
      </c>
      <c r="L312" s="39">
        <f>'DT&amp;CP tài chính'!K7</f>
        <v>50076010447.86087</v>
      </c>
    </row>
    <row r="313" spans="2:12" x14ac:dyDescent="0.25">
      <c r="B313" s="15" t="s">
        <v>340</v>
      </c>
      <c r="C313" s="34">
        <v>0</v>
      </c>
      <c r="D313" s="34">
        <v>0</v>
      </c>
      <c r="E313" s="34">
        <v>0</v>
      </c>
      <c r="F313" s="34">
        <v>0</v>
      </c>
      <c r="G313" s="12">
        <v>-23497576000</v>
      </c>
      <c r="H313" s="11">
        <f>'DT&amp;CP tài chính'!G8</f>
        <v>-22563563110.083637</v>
      </c>
      <c r="I313" s="11">
        <f>'DT&amp;CP tài chính'!H8</f>
        <v>-32779916316.307602</v>
      </c>
      <c r="J313" s="11">
        <f>'DT&amp;CP tài chính'!I8</f>
        <v>-30776327663.398373</v>
      </c>
      <c r="K313" s="11">
        <f>'DT&amp;CP tài chính'!J8</f>
        <v>-45670249412.672424</v>
      </c>
      <c r="L313" s="11">
        <f>'DT&amp;CP tài chính'!K8</f>
        <v>-50076010447.86087</v>
      </c>
    </row>
    <row r="314" spans="2:12" x14ac:dyDescent="0.25">
      <c r="B314" s="15" t="s">
        <v>341</v>
      </c>
      <c r="C314" s="34">
        <v>0</v>
      </c>
      <c r="D314" s="34">
        <v>0</v>
      </c>
      <c r="E314" s="34">
        <v>0</v>
      </c>
      <c r="F314" s="34">
        <v>0</v>
      </c>
      <c r="G314" s="12">
        <v>0</v>
      </c>
      <c r="H314" s="34">
        <v>0</v>
      </c>
      <c r="I314" s="34">
        <v>0</v>
      </c>
      <c r="J314" s="34">
        <v>0</v>
      </c>
      <c r="K314" s="34">
        <v>0</v>
      </c>
      <c r="L314" s="35">
        <v>0</v>
      </c>
    </row>
    <row r="315" spans="2:12" x14ac:dyDescent="0.25">
      <c r="B315" s="15" t="s">
        <v>342</v>
      </c>
      <c r="C315" s="34">
        <v>-48084835000</v>
      </c>
      <c r="D315" s="34">
        <v>-53427594000</v>
      </c>
      <c r="E315" s="34">
        <v>-69454915000</v>
      </c>
      <c r="F315" s="34">
        <v>-86818627000</v>
      </c>
      <c r="G315" s="12">
        <v>-86818663000</v>
      </c>
      <c r="H315" s="11">
        <f>'Vốn CSH'!G38</f>
        <v>-82571538589.634674</v>
      </c>
      <c r="I315" s="11">
        <f>'Vốn CSH'!H38</f>
        <v>-94288188825.642914</v>
      </c>
      <c r="J315" s="11">
        <f>'Vốn CSH'!I38</f>
        <v>-105692792640.77876</v>
      </c>
      <c r="K315" s="11">
        <f>'Vốn CSH'!J38</f>
        <v>-128474341197.09496</v>
      </c>
      <c r="L315" s="16">
        <f>'Vốn CSH'!K38</f>
        <v>-154815308706.20056</v>
      </c>
    </row>
    <row r="316" spans="2:12" x14ac:dyDescent="0.25">
      <c r="B316" s="15" t="s">
        <v>343</v>
      </c>
      <c r="C316" s="34">
        <v>0</v>
      </c>
      <c r="D316" s="34">
        <v>0</v>
      </c>
      <c r="E316" s="34">
        <v>0</v>
      </c>
      <c r="F316" s="34">
        <v>0</v>
      </c>
      <c r="G316" s="12">
        <v>0</v>
      </c>
      <c r="H316" s="34">
        <f t="shared" ref="H316:L317" si="22">G316</f>
        <v>0</v>
      </c>
      <c r="I316" s="34">
        <f t="shared" si="22"/>
        <v>0</v>
      </c>
      <c r="J316" s="34">
        <f t="shared" si="22"/>
        <v>0</v>
      </c>
      <c r="K316" s="34">
        <f t="shared" si="22"/>
        <v>0</v>
      </c>
      <c r="L316" s="35">
        <f t="shared" si="22"/>
        <v>0</v>
      </c>
    </row>
    <row r="317" spans="2:12" x14ac:dyDescent="0.25">
      <c r="B317" s="15" t="s">
        <v>344</v>
      </c>
      <c r="C317" s="34">
        <v>0</v>
      </c>
      <c r="D317" s="34">
        <v>0</v>
      </c>
      <c r="E317" s="34">
        <v>0</v>
      </c>
      <c r="F317" s="34">
        <v>0</v>
      </c>
      <c r="G317" s="12">
        <v>0</v>
      </c>
      <c r="H317" s="34">
        <f t="shared" si="22"/>
        <v>0</v>
      </c>
      <c r="I317" s="34">
        <f t="shared" si="22"/>
        <v>0</v>
      </c>
      <c r="J317" s="34">
        <f t="shared" si="22"/>
        <v>0</v>
      </c>
      <c r="K317" s="34">
        <f t="shared" si="22"/>
        <v>0</v>
      </c>
      <c r="L317" s="35">
        <f t="shared" si="22"/>
        <v>0</v>
      </c>
    </row>
    <row r="318" spans="2:12" x14ac:dyDescent="0.25">
      <c r="B318" s="15" t="s">
        <v>345</v>
      </c>
      <c r="C318" s="34">
        <v>-48084835000</v>
      </c>
      <c r="D318" s="34">
        <v>-53427594000</v>
      </c>
      <c r="E318" s="34">
        <v>-69454915000</v>
      </c>
      <c r="F318" s="34">
        <v>-63321052000</v>
      </c>
      <c r="G318" s="12">
        <v>-110316238000</v>
      </c>
      <c r="H318" s="11">
        <f>SUM(H310:H317)</f>
        <v>-82571538589.634674</v>
      </c>
      <c r="I318" s="11">
        <f>SUM(I310:I317)</f>
        <v>-94288188825.642914</v>
      </c>
      <c r="J318" s="11">
        <f>SUM(J310:J317)</f>
        <v>-105692792640.77876</v>
      </c>
      <c r="K318" s="11">
        <f>SUM(K310:K317)</f>
        <v>-128474341197.09496</v>
      </c>
      <c r="L318" s="16">
        <f>SUM(L310:L317)</f>
        <v>-154815308706.20056</v>
      </c>
    </row>
    <row r="319" spans="2:12" x14ac:dyDescent="0.25">
      <c r="B319" s="15"/>
      <c r="C319" s="34"/>
      <c r="D319" s="34"/>
      <c r="E319" s="34"/>
      <c r="F319" s="34"/>
      <c r="G319" s="12"/>
      <c r="H319" s="11"/>
      <c r="I319" s="11"/>
      <c r="J319" s="11"/>
      <c r="K319" s="11"/>
      <c r="L319" s="16"/>
    </row>
    <row r="320" spans="2:12" x14ac:dyDescent="0.25">
      <c r="B320" s="43" t="s">
        <v>346</v>
      </c>
      <c r="C320" s="44">
        <v>106484572000</v>
      </c>
      <c r="D320" s="44">
        <v>-42845708000</v>
      </c>
      <c r="E320" s="44">
        <v>66434410000</v>
      </c>
      <c r="F320" s="45">
        <v>-79222976000</v>
      </c>
      <c r="G320" s="46">
        <v>18858749000</v>
      </c>
      <c r="H320" s="47">
        <f>H318+H307+H293</f>
        <v>299223835654.44354</v>
      </c>
      <c r="I320" s="47">
        <f>I318+I307+I293</f>
        <v>-47248498829.971313</v>
      </c>
      <c r="J320" s="47">
        <f>J318+J307+J293</f>
        <v>242611253944.01718</v>
      </c>
      <c r="K320" s="47">
        <f>K318+K307+K293</f>
        <v>-109140855044.06244</v>
      </c>
      <c r="L320" s="48">
        <f>L318+L307+L293</f>
        <v>157079372366.21371</v>
      </c>
    </row>
    <row r="321" spans="2:12" x14ac:dyDescent="0.25">
      <c r="B321" s="15" t="s">
        <v>347</v>
      </c>
      <c r="C321" s="34">
        <v>28704480000</v>
      </c>
      <c r="D321" s="34">
        <v>135164016000</v>
      </c>
      <c r="E321" s="34">
        <v>92319494000</v>
      </c>
      <c r="F321" s="11">
        <v>158731379000</v>
      </c>
      <c r="G321" s="12">
        <v>79508403000</v>
      </c>
      <c r="H321" s="36">
        <f>G323</f>
        <v>98367152000</v>
      </c>
      <c r="I321" s="36">
        <f>H323</f>
        <v>397590987654.44354</v>
      </c>
      <c r="J321" s="36">
        <f>I323</f>
        <v>350342488824.47223</v>
      </c>
      <c r="K321" s="36">
        <f>J323</f>
        <v>592953742768.48938</v>
      </c>
      <c r="L321" s="40">
        <f>K323</f>
        <v>483812887724.42694</v>
      </c>
    </row>
    <row r="322" spans="2:12" x14ac:dyDescent="0.25">
      <c r="B322" s="15" t="s">
        <v>348</v>
      </c>
      <c r="C322" s="34">
        <v>-25036000</v>
      </c>
      <c r="D322" s="34">
        <v>1186000</v>
      </c>
      <c r="E322" s="34">
        <v>-22525000</v>
      </c>
      <c r="F322" s="34">
        <v>0</v>
      </c>
      <c r="G322" s="12">
        <v>0</v>
      </c>
      <c r="H322" s="49">
        <v>0</v>
      </c>
      <c r="I322" s="49">
        <v>0</v>
      </c>
      <c r="J322" s="49">
        <v>0</v>
      </c>
      <c r="K322" s="49">
        <v>0</v>
      </c>
      <c r="L322" s="49">
        <v>0</v>
      </c>
    </row>
    <row r="323" spans="2:12" s="138" customFormat="1" x14ac:dyDescent="0.25">
      <c r="B323" s="150" t="s">
        <v>349</v>
      </c>
      <c r="C323" s="151">
        <v>135164016000</v>
      </c>
      <c r="D323" s="151">
        <v>92319494000</v>
      </c>
      <c r="E323" s="151">
        <v>158731379000</v>
      </c>
      <c r="F323" s="151">
        <v>79508403000</v>
      </c>
      <c r="G323" s="152">
        <v>98367152000</v>
      </c>
      <c r="H323" s="151">
        <f>H320+H321+H322</f>
        <v>397590987654.44354</v>
      </c>
      <c r="I323" s="151">
        <f>I320+I321+I322</f>
        <v>350342488824.47223</v>
      </c>
      <c r="J323" s="151">
        <f>J320+J321+J322</f>
        <v>592953742768.48938</v>
      </c>
      <c r="K323" s="151">
        <f>K320+K321+K322</f>
        <v>483812887724.42694</v>
      </c>
      <c r="L323" s="153">
        <f>L320+L321+L322</f>
        <v>640892260090.64063</v>
      </c>
    </row>
    <row r="324" spans="2:12" x14ac:dyDescent="0.25">
      <c r="B324" s="26"/>
      <c r="C324" s="50"/>
      <c r="D324" s="50"/>
      <c r="E324" s="50"/>
      <c r="F324" s="50"/>
      <c r="G324" s="28"/>
      <c r="H324" s="50"/>
      <c r="I324" s="50"/>
      <c r="J324" s="50"/>
      <c r="K324" s="50"/>
      <c r="L324" s="51"/>
    </row>
    <row r="326" spans="2:12" x14ac:dyDescent="0.25">
      <c r="B326" t="s">
        <v>18</v>
      </c>
    </row>
    <row r="327" spans="2:12" x14ac:dyDescent="0.25">
      <c r="C327" t="s">
        <v>19</v>
      </c>
      <c r="D327" t="s">
        <v>20</v>
      </c>
      <c r="E327" t="s">
        <v>21</v>
      </c>
      <c r="F327" t="s">
        <v>22</v>
      </c>
    </row>
    <row r="328" spans="2:12" x14ac:dyDescent="0.25">
      <c r="C328">
        <v>0.13804490812694467</v>
      </c>
      <c r="D328">
        <v>7.4031212968933184E-3</v>
      </c>
      <c r="E328">
        <v>-4.8951240262520596E-2</v>
      </c>
      <c r="F328">
        <v>4.3730572225039156E-2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rang_tính6"/>
  <dimension ref="A1:K45"/>
  <sheetViews>
    <sheetView zoomScale="80" zoomScaleNormal="80" workbookViewId="0">
      <selection activeCell="H15" sqref="H15"/>
    </sheetView>
  </sheetViews>
  <sheetFormatPr defaultRowHeight="15" x14ac:dyDescent="0.25"/>
  <cols>
    <col min="1" max="1" width="21.85546875" customWidth="1"/>
    <col min="2" max="11" width="20.5703125" customWidth="1"/>
  </cols>
  <sheetData>
    <row r="1" spans="1:11" ht="20.25" customHeight="1" x14ac:dyDescent="0.25">
      <c r="A1" s="141" t="s">
        <v>23</v>
      </c>
      <c r="B1" s="53">
        <f>'[1]BC Kết Quả Kinh Doanh'!C5</f>
        <v>2015</v>
      </c>
      <c r="C1" s="53">
        <f>'[1]BC Kết Quả Kinh Doanh'!D5</f>
        <v>2016</v>
      </c>
      <c r="D1" s="53">
        <f>'[1]BC Kết Quả Kinh Doanh'!E5</f>
        <v>2017</v>
      </c>
      <c r="E1" s="53">
        <f>'[1]BC Kết Quả Kinh Doanh'!F5</f>
        <v>2018</v>
      </c>
      <c r="F1" s="53">
        <f>'[1]BC Kết Quả Kinh Doanh'!G5</f>
        <v>2019</v>
      </c>
      <c r="G1">
        <f>F1+1</f>
        <v>2020</v>
      </c>
      <c r="H1">
        <f>G1+1</f>
        <v>2021</v>
      </c>
      <c r="I1">
        <f>H1+1</f>
        <v>2022</v>
      </c>
      <c r="J1">
        <f>I1+1</f>
        <v>2023</v>
      </c>
      <c r="K1">
        <f>J1+1</f>
        <v>2024</v>
      </c>
    </row>
    <row r="2" spans="1:11" x14ac:dyDescent="0.25">
      <c r="A2" t="s">
        <v>24</v>
      </c>
      <c r="B2" s="53"/>
      <c r="C2" s="53"/>
      <c r="D2" s="53"/>
      <c r="E2" s="53"/>
      <c r="F2" s="53"/>
    </row>
    <row r="3" spans="1:11" x14ac:dyDescent="0.25">
      <c r="A3" t="s">
        <v>25</v>
      </c>
    </row>
    <row r="6" spans="1:11" s="54" customFormat="1" x14ac:dyDescent="0.25">
      <c r="A6" s="160" t="s">
        <v>26</v>
      </c>
      <c r="B6" s="55">
        <f>'BCTC du phong'!C5</f>
        <v>1234030823000</v>
      </c>
      <c r="C6" s="55">
        <f>'BCTC du phong'!D5</f>
        <v>1289294177000</v>
      </c>
      <c r="D6" s="55">
        <f>'BCTC du phong'!E5</f>
        <v>1339650588000</v>
      </c>
      <c r="E6" s="55">
        <f>'BCTC du phong'!F5</f>
        <v>1385088491000</v>
      </c>
      <c r="F6" s="55">
        <f>'BCTC du phong'!G5</f>
        <v>1468390310000</v>
      </c>
      <c r="G6" s="55">
        <f>G10+G13</f>
        <v>1431668465000</v>
      </c>
      <c r="H6" s="55">
        <f t="shared" ref="H6:K6" si="0">H10+H13</f>
        <v>1563811851000</v>
      </c>
      <c r="I6" s="55">
        <f t="shared" si="0"/>
        <v>1792864991400</v>
      </c>
      <c r="J6" s="55">
        <f t="shared" si="0"/>
        <v>2153186547959.9998</v>
      </c>
      <c r="K6" s="55">
        <f t="shared" si="0"/>
        <v>2693319171143.9995</v>
      </c>
    </row>
    <row r="7" spans="1:11" x14ac:dyDescent="0.25">
      <c r="A7" t="s">
        <v>352</v>
      </c>
      <c r="C7" s="56">
        <f>IFERROR(C6/B6-1,0)</f>
        <v>4.4782798751858977E-2</v>
      </c>
      <c r="D7" s="56">
        <f t="shared" ref="D7:K7" si="1">IFERROR(D6/C6-1,0)</f>
        <v>3.9057347732052827E-2</v>
      </c>
      <c r="E7" s="56">
        <f t="shared" si="1"/>
        <v>3.3917727060334135E-2</v>
      </c>
      <c r="F7" s="56">
        <f t="shared" si="1"/>
        <v>6.0141875079662288E-2</v>
      </c>
      <c r="G7" s="56">
        <f>IFERROR(G6/F6-1,0)</f>
        <v>-2.5008231632909661E-2</v>
      </c>
      <c r="H7" s="56">
        <f>IFERROR(H6/G6-1,0)</f>
        <v>9.2300270090813319E-2</v>
      </c>
      <c r="I7" s="56">
        <f t="shared" si="1"/>
        <v>0.1464710350247882</v>
      </c>
      <c r="J7" s="56">
        <f t="shared" si="1"/>
        <v>0.20097528720142743</v>
      </c>
      <c r="K7" s="56">
        <f t="shared" si="1"/>
        <v>0.25085268329199772</v>
      </c>
    </row>
    <row r="8" spans="1:11" x14ac:dyDescent="0.25">
      <c r="C8" s="56"/>
      <c r="D8" s="56"/>
      <c r="E8" s="56"/>
      <c r="F8" s="56"/>
      <c r="G8" s="56"/>
      <c r="H8" s="56"/>
      <c r="I8" s="56"/>
      <c r="J8" s="56"/>
      <c r="K8" s="56"/>
    </row>
    <row r="9" spans="1:11" x14ac:dyDescent="0.25">
      <c r="A9" s="52" t="s">
        <v>355</v>
      </c>
      <c r="F9" s="137"/>
      <c r="G9" s="17"/>
    </row>
    <row r="10" spans="1:11" x14ac:dyDescent="0.25">
      <c r="B10" s="138">
        <v>1023390000000</v>
      </c>
      <c r="C10" s="138">
        <f>1146270000000</f>
        <v>1146270000000</v>
      </c>
      <c r="D10" s="138">
        <v>1155730000000</v>
      </c>
      <c r="E10" s="138">
        <v>1159550000000</v>
      </c>
      <c r="F10" s="139">
        <v>1101310000000</v>
      </c>
      <c r="G10" s="140">
        <f>F10*(1+G11)</f>
        <v>881048000000</v>
      </c>
      <c r="H10" s="140">
        <f t="shared" ref="H10:K10" si="2">G10*(1+H11)</f>
        <v>792943200000</v>
      </c>
      <c r="I10" s="140">
        <f t="shared" si="2"/>
        <v>713648880000</v>
      </c>
      <c r="J10" s="140">
        <f t="shared" si="2"/>
        <v>642283992000</v>
      </c>
      <c r="K10" s="140">
        <f t="shared" si="2"/>
        <v>578055592800</v>
      </c>
    </row>
    <row r="11" spans="1:11" x14ac:dyDescent="0.25">
      <c r="A11" t="s">
        <v>352</v>
      </c>
      <c r="C11" s="62">
        <f>C10/B10-1</f>
        <v>0.12007152698384771</v>
      </c>
      <c r="D11" s="62">
        <f t="shared" ref="D11:F11" si="3">D10/C10-1</f>
        <v>8.252854912018881E-3</v>
      </c>
      <c r="E11" s="62">
        <f t="shared" si="3"/>
        <v>3.3052702620854912E-3</v>
      </c>
      <c r="F11" s="62">
        <f t="shared" si="3"/>
        <v>-5.0226380923634184E-2</v>
      </c>
      <c r="G11" s="17">
        <v>-0.2</v>
      </c>
      <c r="H11" s="17">
        <v>-0.1</v>
      </c>
      <c r="I11" s="17">
        <f>H11</f>
        <v>-0.1</v>
      </c>
      <c r="J11" s="17">
        <f t="shared" ref="J11:K11" si="4">I11</f>
        <v>-0.1</v>
      </c>
      <c r="K11" s="17">
        <f t="shared" si="4"/>
        <v>-0.1</v>
      </c>
    </row>
    <row r="12" spans="1:11" x14ac:dyDescent="0.25">
      <c r="A12" s="52" t="s">
        <v>356</v>
      </c>
      <c r="F12" s="137"/>
      <c r="G12" s="17"/>
    </row>
    <row r="13" spans="1:11" x14ac:dyDescent="0.25">
      <c r="B13" s="37">
        <f>B6-B10</f>
        <v>210640823000</v>
      </c>
      <c r="C13" s="37">
        <f>C6-C10</f>
        <v>143024177000</v>
      </c>
      <c r="D13" s="37">
        <f>D6-D10</f>
        <v>183920588000</v>
      </c>
      <c r="E13" s="37">
        <f>E6-E10</f>
        <v>225538491000</v>
      </c>
      <c r="F13" s="37">
        <f>F6-F10</f>
        <v>367080310000</v>
      </c>
      <c r="G13" s="140">
        <f>F13*(1+G14)</f>
        <v>550620465000</v>
      </c>
      <c r="H13" s="140">
        <f t="shared" ref="H13:K13" si="5">G13*(1+H14)</f>
        <v>770868651000</v>
      </c>
      <c r="I13" s="140">
        <f t="shared" si="5"/>
        <v>1079216111399.9999</v>
      </c>
      <c r="J13" s="140">
        <f t="shared" si="5"/>
        <v>1510902555959.9998</v>
      </c>
      <c r="K13" s="140">
        <f t="shared" si="5"/>
        <v>2115263578343.9995</v>
      </c>
    </row>
    <row r="14" spans="1:11" x14ac:dyDescent="0.25">
      <c r="A14" t="s">
        <v>352</v>
      </c>
      <c r="B14" s="37"/>
      <c r="C14" s="62">
        <f>C13/B13-1</f>
        <v>-0.32100447119882358</v>
      </c>
      <c r="D14" s="62">
        <f t="shared" ref="D14:F14" si="6">D13/C13-1</f>
        <v>0.2859405441640821</v>
      </c>
      <c r="E14" s="62">
        <f t="shared" si="6"/>
        <v>0.22628191575812062</v>
      </c>
      <c r="F14" s="62">
        <f t="shared" si="6"/>
        <v>0.62757278534775685</v>
      </c>
      <c r="G14" s="17">
        <v>0.5</v>
      </c>
      <c r="H14" s="17">
        <v>0.4</v>
      </c>
      <c r="I14" s="17">
        <f t="shared" ref="I14:K14" si="7">H14</f>
        <v>0.4</v>
      </c>
      <c r="J14" s="17">
        <f t="shared" si="7"/>
        <v>0.4</v>
      </c>
      <c r="K14" s="17">
        <f t="shared" si="7"/>
        <v>0.4</v>
      </c>
    </row>
    <row r="16" spans="1:11" x14ac:dyDescent="0.25">
      <c r="A16" s="52" t="s">
        <v>351</v>
      </c>
    </row>
    <row r="17" spans="1:11" x14ac:dyDescent="0.25">
      <c r="A17" t="s">
        <v>27</v>
      </c>
      <c r="B17" s="58">
        <f>'BCTC du phong'!C6</f>
        <v>824272566000</v>
      </c>
      <c r="C17" s="58">
        <f>'BCTC du phong'!D6</f>
        <v>790585526000</v>
      </c>
      <c r="D17" s="58">
        <f>'BCTC du phong'!E6</f>
        <v>804867972000</v>
      </c>
      <c r="E17" s="58">
        <f>'BCTC du phong'!F6</f>
        <v>896095667000</v>
      </c>
      <c r="F17" s="58">
        <f>'BCTC du phong'!G6</f>
        <v>975656508000</v>
      </c>
      <c r="G17" s="59">
        <f>G18*G6</f>
        <v>914362811779.1687</v>
      </c>
      <c r="H17" s="59">
        <f>H18*H6</f>
        <v>998758746267.38147</v>
      </c>
      <c r="I17" s="59">
        <f>I18*I6</f>
        <v>1145047973573.2246</v>
      </c>
      <c r="J17" s="59">
        <f>J18*J6</f>
        <v>1375174318921.5161</v>
      </c>
      <c r="K17" s="59">
        <f>K18*K6</f>
        <v>1720140486817.2239</v>
      </c>
    </row>
    <row r="18" spans="1:11" x14ac:dyDescent="0.25">
      <c r="A18" t="s">
        <v>28</v>
      </c>
      <c r="B18" s="60">
        <f>B17/B6</f>
        <v>0.66795135959095897</v>
      </c>
      <c r="C18" s="60">
        <f>C17/C6</f>
        <v>0.6131925049406316</v>
      </c>
      <c r="D18" s="60">
        <f>D17/D6</f>
        <v>0.60080440318516848</v>
      </c>
      <c r="E18" s="60">
        <f>E17/E6</f>
        <v>0.64695914580377523</v>
      </c>
      <c r="F18" s="60">
        <f>F17/F6</f>
        <v>0.66443948952509768</v>
      </c>
      <c r="G18" s="61">
        <f>AVERAGE(B18:F18)</f>
        <v>0.63866938060912637</v>
      </c>
      <c r="H18" s="61">
        <f>G18</f>
        <v>0.63866938060912637</v>
      </c>
      <c r="I18" s="61">
        <f t="shared" ref="I18:K18" si="8">H18</f>
        <v>0.63866938060912637</v>
      </c>
      <c r="J18" s="61">
        <f t="shared" si="8"/>
        <v>0.63866938060912637</v>
      </c>
      <c r="K18" s="61">
        <f t="shared" si="8"/>
        <v>0.63866938060912637</v>
      </c>
    </row>
    <row r="20" spans="1:11" x14ac:dyDescent="0.25">
      <c r="A20" t="s">
        <v>30</v>
      </c>
      <c r="B20" s="58">
        <f>'BCTC du phong'!C12</f>
        <v>143319798000</v>
      </c>
      <c r="C20" s="58">
        <f>'BCTC du phong'!D12</f>
        <v>195847520000</v>
      </c>
      <c r="D20" s="58">
        <f>'BCTC du phong'!E12</f>
        <v>197567030000</v>
      </c>
      <c r="E20" s="58">
        <f>'BCTC du phong'!F12</f>
        <v>138614540000</v>
      </c>
      <c r="F20" s="58">
        <f>'BCTC du phong'!G12</f>
        <v>145891689000</v>
      </c>
      <c r="G20" s="59">
        <f>G21*G6</f>
        <v>176080945836.24152</v>
      </c>
      <c r="H20" s="59">
        <f>H21*H6</f>
        <v>192333264694.77246</v>
      </c>
      <c r="I20" s="59">
        <f>I21*I6</f>
        <v>220504517044.31235</v>
      </c>
      <c r="J20" s="59">
        <f>J21*J6</f>
        <v>264820475686.5051</v>
      </c>
      <c r="K20" s="59">
        <f>K21*K6</f>
        <v>331251402603.12811</v>
      </c>
    </row>
    <row r="21" spans="1:11" x14ac:dyDescent="0.25">
      <c r="A21" t="s">
        <v>31</v>
      </c>
      <c r="B21" s="62">
        <f>B20/B6</f>
        <v>0.11613956096459675</v>
      </c>
      <c r="C21" s="62">
        <f>C20/C6</f>
        <v>0.15190289655671035</v>
      </c>
      <c r="D21" s="62">
        <f>D20/D6</f>
        <v>0.14747653736707053</v>
      </c>
      <c r="E21" s="62">
        <f>E20/E6</f>
        <v>0.1000763062437431</v>
      </c>
      <c r="F21" s="62">
        <f>F20/F6</f>
        <v>9.9354843195607848E-2</v>
      </c>
      <c r="G21" s="63">
        <f>AVERAGE(B21:F21)</f>
        <v>0.12299002886554571</v>
      </c>
      <c r="H21" s="63">
        <f>G21</f>
        <v>0.12299002886554571</v>
      </c>
      <c r="I21" s="63">
        <f t="shared" ref="I21:K21" si="9">H21</f>
        <v>0.12299002886554571</v>
      </c>
      <c r="J21" s="63">
        <f t="shared" si="9"/>
        <v>0.12299002886554571</v>
      </c>
      <c r="K21" s="63">
        <f t="shared" si="9"/>
        <v>0.12299002886554571</v>
      </c>
    </row>
    <row r="23" spans="1:11" x14ac:dyDescent="0.25">
      <c r="A23" t="s">
        <v>32</v>
      </c>
      <c r="B23" s="58">
        <f>'BCTC du phong'!C13</f>
        <v>82089832000</v>
      </c>
      <c r="C23" s="58">
        <f>'BCTC du phong'!D13</f>
        <v>95762726000</v>
      </c>
      <c r="D23" s="58">
        <f>'BCTC du phong'!E13</f>
        <v>96853457000</v>
      </c>
      <c r="E23" s="58">
        <f>'BCTC du phong'!F13</f>
        <v>86454724000</v>
      </c>
      <c r="F23" s="58">
        <f>'BCTC du phong'!G13</f>
        <v>79894674000</v>
      </c>
      <c r="G23" s="59">
        <f>G24*G6</f>
        <v>94467916127.981934</v>
      </c>
      <c r="H23" s="59">
        <f>H24*H6</f>
        <v>103187330301.51096</v>
      </c>
      <c r="I23" s="59">
        <f>I24*I6</f>
        <v>118301285372.21796</v>
      </c>
      <c r="J23" s="59">
        <f>J24*J6</f>
        <v>142076920176.19751</v>
      </c>
      <c r="K23" s="59">
        <f>K24*K6</f>
        <v>177717296836.25961</v>
      </c>
    </row>
    <row r="24" spans="1:11" x14ac:dyDescent="0.25">
      <c r="A24" t="s">
        <v>31</v>
      </c>
      <c r="B24" s="60">
        <f>B23/B6</f>
        <v>6.652170308066932E-2</v>
      </c>
      <c r="C24" s="60">
        <f>C23/C6</f>
        <v>7.4275311025468166E-2</v>
      </c>
      <c r="D24" s="60">
        <f>D23/D6</f>
        <v>7.2297551217885184E-2</v>
      </c>
      <c r="E24" s="60">
        <f>E23/E6</f>
        <v>6.2418195344025859E-2</v>
      </c>
      <c r="F24" s="60">
        <f>F23/F6</f>
        <v>5.4409698467705089E-2</v>
      </c>
      <c r="G24" s="61">
        <f>AVERAGE(B24:F24)</f>
        <v>6.5984491827150729E-2</v>
      </c>
      <c r="H24" s="61">
        <f>G24</f>
        <v>6.5984491827150729E-2</v>
      </c>
      <c r="I24" s="61">
        <f t="shared" ref="I24:K24" si="10">H24</f>
        <v>6.5984491827150729E-2</v>
      </c>
      <c r="J24" s="61">
        <f t="shared" si="10"/>
        <v>6.5984491827150729E-2</v>
      </c>
      <c r="K24" s="61">
        <f t="shared" si="10"/>
        <v>6.5984491827150729E-2</v>
      </c>
    </row>
    <row r="26" spans="1:11" x14ac:dyDescent="0.25">
      <c r="A26" s="52" t="s">
        <v>33</v>
      </c>
    </row>
    <row r="27" spans="1:11" x14ac:dyDescent="0.25">
      <c r="A27" t="s">
        <v>34</v>
      </c>
    </row>
    <row r="29" spans="1:11" x14ac:dyDescent="0.25">
      <c r="A29" t="s">
        <v>35</v>
      </c>
      <c r="B29" s="63">
        <v>0.1052</v>
      </c>
      <c r="C29" s="64" t="s">
        <v>36</v>
      </c>
      <c r="D29" s="64" t="s">
        <v>37</v>
      </c>
      <c r="E29" s="60">
        <f>'Định giá'!C24</f>
        <v>0.111056</v>
      </c>
    </row>
    <row r="30" spans="1:11" x14ac:dyDescent="0.25">
      <c r="B30" s="65"/>
      <c r="C30" s="64"/>
      <c r="D30" s="64"/>
      <c r="E30" s="60"/>
    </row>
    <row r="31" spans="1:11" x14ac:dyDescent="0.25"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</row>
    <row r="32" spans="1:11" x14ac:dyDescent="0.25">
      <c r="A32" t="s">
        <v>44</v>
      </c>
      <c r="B32" s="66">
        <f>'Định giá'!B6</f>
        <v>64583.264893064821</v>
      </c>
      <c r="C32" s="67">
        <f>MIN(B18:F18)</f>
        <v>0.60080440318516848</v>
      </c>
      <c r="D32" s="68">
        <f>AVERAGE(D18:F18)</f>
        <v>0.63740101283801376</v>
      </c>
      <c r="E32" s="69">
        <f>AVERAGE(B18:F18)</f>
        <v>0.63866938060912637</v>
      </c>
      <c r="F32" s="70">
        <f>AVERAGE(E18:F18)</f>
        <v>0.65569931766443645</v>
      </c>
      <c r="G32" s="71">
        <f>F18</f>
        <v>0.66443948952509768</v>
      </c>
      <c r="H32" s="72">
        <f>MAX(B18:F18)</f>
        <v>0.66795135959095897</v>
      </c>
      <c r="I32" s="73" t="s">
        <v>45</v>
      </c>
    </row>
    <row r="33" spans="2:8" x14ac:dyDescent="0.25">
      <c r="B33" s="74">
        <v>0.1</v>
      </c>
      <c r="C33" s="75">
        <v>82180.783835501337</v>
      </c>
      <c r="D33" s="76">
        <v>67320.831802319983</v>
      </c>
      <c r="E33" s="77">
        <v>66805.814580288832</v>
      </c>
      <c r="F33" s="78">
        <v>59890.855785729247</v>
      </c>
      <c r="G33" s="79">
        <v>56341.933198549385</v>
      </c>
      <c r="H33" s="80">
        <v>54915.948080788432</v>
      </c>
    </row>
    <row r="34" spans="2:8" x14ac:dyDescent="0.25">
      <c r="B34" s="74">
        <v>0.12</v>
      </c>
      <c r="C34" s="81">
        <f t="dataTable" ref="C34:H37" dt2D="1" dtr="1" r1="G18" r2="B29"/>
        <v>0.1</v>
      </c>
      <c r="D34" s="82">
        <v>0.1</v>
      </c>
      <c r="E34" s="83">
        <v>0.1</v>
      </c>
      <c r="F34" s="84">
        <v>0.1</v>
      </c>
      <c r="G34" s="85">
        <v>0.1</v>
      </c>
      <c r="H34" s="86">
        <v>0.1</v>
      </c>
    </row>
    <row r="35" spans="2:8" x14ac:dyDescent="0.25">
      <c r="B35" s="74">
        <v>0.16</v>
      </c>
      <c r="C35" s="81">
        <v>0.1</v>
      </c>
      <c r="D35" s="82">
        <v>0.1</v>
      </c>
      <c r="E35" s="83">
        <v>0.1</v>
      </c>
      <c r="F35" s="84">
        <v>0.1</v>
      </c>
      <c r="G35" s="85">
        <v>0.1</v>
      </c>
      <c r="H35" s="86">
        <v>0.1</v>
      </c>
    </row>
    <row r="36" spans="2:8" x14ac:dyDescent="0.25">
      <c r="B36" s="74">
        <v>0.18</v>
      </c>
      <c r="C36" s="81">
        <v>0.1</v>
      </c>
      <c r="D36" s="82">
        <v>0.1</v>
      </c>
      <c r="E36" s="83">
        <v>0.1</v>
      </c>
      <c r="F36" s="84">
        <v>0.1</v>
      </c>
      <c r="G36" s="85">
        <v>0.1</v>
      </c>
      <c r="H36" s="86">
        <v>0.1</v>
      </c>
    </row>
    <row r="37" spans="2:8" x14ac:dyDescent="0.25">
      <c r="B37" s="87">
        <v>0.2</v>
      </c>
      <c r="C37" s="88">
        <v>0.1</v>
      </c>
      <c r="D37" s="89">
        <v>0.1</v>
      </c>
      <c r="E37" s="90">
        <v>0.1</v>
      </c>
      <c r="F37" s="91">
        <v>0.1</v>
      </c>
      <c r="G37" s="92">
        <v>0.1</v>
      </c>
      <c r="H37" s="93">
        <v>0.1</v>
      </c>
    </row>
    <row r="38" spans="2:8" x14ac:dyDescent="0.25">
      <c r="B38" s="94" t="s">
        <v>46</v>
      </c>
    </row>
    <row r="40" spans="2:8" x14ac:dyDescent="0.25">
      <c r="B40" s="114">
        <f>'Định giá'!B4</f>
        <v>64583.264893064821</v>
      </c>
      <c r="C40" s="21">
        <v>0.05</v>
      </c>
      <c r="D40" s="21">
        <v>0.1</v>
      </c>
      <c r="E40" s="21">
        <v>0.15</v>
      </c>
      <c r="F40" s="21">
        <v>0.2</v>
      </c>
      <c r="G40" s="21">
        <v>0.25</v>
      </c>
      <c r="H40" s="21">
        <v>0.3</v>
      </c>
    </row>
    <row r="41" spans="2:8" x14ac:dyDescent="0.25">
      <c r="B41" s="74">
        <v>0.1</v>
      </c>
      <c r="C41" s="138">
        <f t="dataTable" ref="C41:H45" dt2D="1" dtr="1" r1="G14" r2="B29"/>
        <v>84242.040286023446</v>
      </c>
      <c r="D41" s="138">
        <v>82057.731909028123</v>
      </c>
      <c r="E41" s="138">
        <v>79873.42353203267</v>
      </c>
      <c r="F41" s="138">
        <v>77689.115155037187</v>
      </c>
      <c r="G41" s="138">
        <v>75504.806778041762</v>
      </c>
      <c r="H41" s="138">
        <v>73320.498401046527</v>
      </c>
    </row>
    <row r="42" spans="2:8" x14ac:dyDescent="0.25">
      <c r="B42" s="74">
        <v>0.12</v>
      </c>
      <c r="C42" s="138">
        <v>84242.040286023446</v>
      </c>
      <c r="D42" s="138">
        <v>82057.731909028123</v>
      </c>
      <c r="E42" s="138">
        <v>79873.42353203267</v>
      </c>
      <c r="F42" s="138">
        <v>77689.115155037187</v>
      </c>
      <c r="G42" s="138">
        <v>75504.806778041762</v>
      </c>
      <c r="H42" s="138">
        <v>73320.498401046527</v>
      </c>
    </row>
    <row r="43" spans="2:8" x14ac:dyDescent="0.25">
      <c r="B43" s="74">
        <v>0.16</v>
      </c>
      <c r="C43" s="138">
        <v>84242.040286023446</v>
      </c>
      <c r="D43" s="138">
        <v>82057.731909028123</v>
      </c>
      <c r="E43" s="138">
        <v>79873.42353203267</v>
      </c>
      <c r="F43" s="138">
        <v>77689.115155037187</v>
      </c>
      <c r="G43" s="138">
        <v>75504.806778041762</v>
      </c>
      <c r="H43" s="138">
        <v>73320.498401046527</v>
      </c>
    </row>
    <row r="44" spans="2:8" x14ac:dyDescent="0.25">
      <c r="B44" s="74">
        <v>0.18</v>
      </c>
      <c r="C44" s="138">
        <v>84242.040286023446</v>
      </c>
      <c r="D44" s="138">
        <v>82057.731909028123</v>
      </c>
      <c r="E44" s="138">
        <v>79873.42353203267</v>
      </c>
      <c r="F44" s="138">
        <v>77689.115155037187</v>
      </c>
      <c r="G44" s="138">
        <v>75504.806778041762</v>
      </c>
      <c r="H44" s="138">
        <v>73320.498401046527</v>
      </c>
    </row>
    <row r="45" spans="2:8" x14ac:dyDescent="0.25">
      <c r="B45" s="87">
        <v>0.2</v>
      </c>
      <c r="C45" s="138">
        <v>84242.040286023446</v>
      </c>
      <c r="D45" s="138">
        <v>82057.731909028123</v>
      </c>
      <c r="E45" s="138">
        <v>79873.42353203267</v>
      </c>
      <c r="F45" s="138">
        <v>77689.115155037187</v>
      </c>
      <c r="G45" s="138">
        <v>75504.806778041762</v>
      </c>
      <c r="H45" s="138">
        <v>73320.498401046527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rang_tính2"/>
  <dimension ref="A1:K89"/>
  <sheetViews>
    <sheetView topLeftCell="A4" workbookViewId="0">
      <selection activeCell="F6" sqref="F6"/>
    </sheetView>
  </sheetViews>
  <sheetFormatPr defaultColWidth="20.5703125" defaultRowHeight="15" x14ac:dyDescent="0.25"/>
  <cols>
    <col min="1" max="16384" width="20.5703125" style="2"/>
  </cols>
  <sheetData>
    <row r="1" spans="1:11" x14ac:dyDescent="0.25">
      <c r="A1" s="95" t="s">
        <v>47</v>
      </c>
      <c r="B1" s="96">
        <f>'[1]Bảng Cân Đối Kế Toán'!C5</f>
        <v>2015</v>
      </c>
      <c r="C1" s="96">
        <f>'[1]Bảng Cân Đối Kế Toán'!D5</f>
        <v>2016</v>
      </c>
      <c r="D1" s="96">
        <f>'[1]Bảng Cân Đối Kế Toán'!E5</f>
        <v>2017</v>
      </c>
      <c r="E1" s="96">
        <f>'[1]Bảng Cân Đối Kế Toán'!F5</f>
        <v>2018</v>
      </c>
      <c r="F1" s="96">
        <f>'[1]Bảng Cân Đối Kế Toán'!G5</f>
        <v>2019</v>
      </c>
      <c r="G1" s="2">
        <f>F1+1</f>
        <v>2020</v>
      </c>
      <c r="H1" s="2">
        <f>G1+1</f>
        <v>2021</v>
      </c>
      <c r="I1" s="2">
        <f>H1+1</f>
        <v>2022</v>
      </c>
      <c r="J1" s="2">
        <f>I1+1</f>
        <v>2023</v>
      </c>
      <c r="K1" s="2">
        <f>J1+1</f>
        <v>2024</v>
      </c>
    </row>
    <row r="3" spans="1:11" x14ac:dyDescent="0.25">
      <c r="A3" s="2" t="str">
        <f>'BCTC du phong'!B41</f>
        <v>III. Các khoản phải thu ngắn hạn</v>
      </c>
      <c r="B3" s="96">
        <f>'BCTC du phong'!C41</f>
        <v>305862812000</v>
      </c>
      <c r="C3" s="96">
        <f>'BCTC du phong'!D41</f>
        <v>311307010000</v>
      </c>
      <c r="D3" s="96">
        <f>'BCTC du phong'!E41</f>
        <v>400550889000</v>
      </c>
      <c r="E3" s="96">
        <f>'BCTC du phong'!F41</f>
        <v>585386459000</v>
      </c>
      <c r="F3" s="96">
        <f>'BCTC du phong'!G41</f>
        <v>717170550000</v>
      </c>
      <c r="G3" s="2">
        <f>G4+G7+G10+G13+G16+G19+G22+G25</f>
        <v>548492092569.58453</v>
      </c>
      <c r="H3" s="2">
        <f>H4+H7+H10+H13+H16+H19+H22+H25</f>
        <v>837661348282.62</v>
      </c>
      <c r="I3" s="2">
        <f>I4+I7+I10+I13+I16+I19+I22+I25</f>
        <v>750451399757.06042</v>
      </c>
      <c r="J3" s="2">
        <f>J4+J7+J10+J13+J16+J19+J22+J25</f>
        <v>1155654585260.4268</v>
      </c>
      <c r="K3" s="2">
        <f>K4+K7+K10+K13+K16+K19+K22+K25</f>
        <v>1227367117749.7964</v>
      </c>
    </row>
    <row r="4" spans="1:11" x14ac:dyDescent="0.25">
      <c r="A4" s="2" t="str">
        <f>'BCTC du phong'!B42</f>
        <v>1. Phải thu ngắn hạn của khách hàng</v>
      </c>
      <c r="B4" s="96">
        <f>'BCTC du phong'!C42</f>
        <v>289981415000</v>
      </c>
      <c r="C4" s="96">
        <f>'BCTC du phong'!D42</f>
        <v>300890087000</v>
      </c>
      <c r="D4" s="96">
        <f>'BCTC du phong'!E42</f>
        <v>380536847000</v>
      </c>
      <c r="E4" s="96">
        <f>'BCTC du phong'!F42</f>
        <v>555099634000</v>
      </c>
      <c r="F4" s="96">
        <f>'BCTC du phong'!G42</f>
        <v>699943710000</v>
      </c>
      <c r="G4" s="2">
        <f>'BCTC du phong'!H$5/'Vốn lưu động'!G5*2-'Vốn lưu động'!F4</f>
        <v>523713219343.90649</v>
      </c>
      <c r="H4" s="2">
        <f>'BCTC du phong'!I$5/'Vốn lưu động'!H5*2-'Vốn lưu động'!G4</f>
        <v>812887575076.93774</v>
      </c>
      <c r="I4" s="2">
        <f>'BCTC du phong'!J$5/'Vốn lưu động'!I5*2-'Vốn lưu động'!H4</f>
        <v>719486521117.68164</v>
      </c>
      <c r="J4" s="2">
        <f>'BCTC du phong'!K$5/'Vốn lưu động'!J5*2-'Vốn lưu động'!I4</f>
        <v>1120856899159.6792</v>
      </c>
      <c r="K4" s="2">
        <f>'BCTC du phong'!L$5/'Vốn lưu động'!K5*2-'Vốn lưu động'!J4</f>
        <v>1181141606273.0303</v>
      </c>
    </row>
    <row r="5" spans="1:11" x14ac:dyDescent="0.25">
      <c r="A5" s="2" t="s">
        <v>48</v>
      </c>
      <c r="C5" s="97">
        <f>'BCTC du phong'!D5/AVERAGE('Vốn lưu động'!B4:C4)</f>
        <v>4.3640425122415198</v>
      </c>
      <c r="D5" s="97">
        <f>'BCTC du phong'!E5/AVERAGE('Vốn lưu động'!C4:D4)</f>
        <v>3.9318979663342746</v>
      </c>
      <c r="E5" s="97">
        <f>'BCTC du phong'!F5/AVERAGE('Vốn lưu động'!D4:E4)</f>
        <v>2.9607406703929064</v>
      </c>
      <c r="F5" s="97">
        <f>'BCTC du phong'!G5/AVERAGE('Vốn lưu động'!E4:F4)</f>
        <v>2.3399834229151533</v>
      </c>
      <c r="G5" s="154">
        <f>F5</f>
        <v>2.3399834229151533</v>
      </c>
      <c r="H5" s="2">
        <f>G5</f>
        <v>2.3399834229151533</v>
      </c>
      <c r="I5" s="2">
        <f>H5</f>
        <v>2.3399834229151533</v>
      </c>
      <c r="J5" s="2">
        <f>I5</f>
        <v>2.3399834229151533</v>
      </c>
      <c r="K5" s="2">
        <f>J5</f>
        <v>2.3399834229151533</v>
      </c>
    </row>
    <row r="6" spans="1:11" x14ac:dyDescent="0.25">
      <c r="C6" s="97"/>
      <c r="D6" s="97"/>
      <c r="E6" s="97"/>
      <c r="F6" s="97"/>
      <c r="G6" s="163"/>
    </row>
    <row r="7" spans="1:11" x14ac:dyDescent="0.25">
      <c r="A7" s="2" t="str">
        <f>'BCTC du phong'!B43</f>
        <v>2. Trả trước cho người bán ngắn hạn</v>
      </c>
      <c r="B7" s="96">
        <f>'BCTC du phong'!C43</f>
        <v>1577897000</v>
      </c>
      <c r="C7" s="96">
        <f>'BCTC du phong'!D43</f>
        <v>1337079000</v>
      </c>
      <c r="D7" s="96">
        <f>'BCTC du phong'!E43</f>
        <v>3593154000</v>
      </c>
      <c r="E7" s="96">
        <f>'BCTC du phong'!F43</f>
        <v>9521850000</v>
      </c>
      <c r="F7" s="96">
        <f>'BCTC du phong'!G43</f>
        <v>7128949000</v>
      </c>
      <c r="G7" s="2">
        <f>'BCTC du phong'!H$6/'Vốn lưu động'!G8*2-'Vốn lưu động'!F7</f>
        <v>8475796386.487772</v>
      </c>
      <c r="H7" s="2">
        <f>'BCTC du phong'!I$6/'Vốn lưu động'!H8*2-'Vốn lưu động'!G7</f>
        <v>8569271213.8711948</v>
      </c>
      <c r="I7" s="2">
        <f>'BCTC du phong'!J$6/'Vốn lưu động'!I8*2-'Vốn lưu động'!H7</f>
        <v>10972405079.97983</v>
      </c>
      <c r="J7" s="2">
        <f>'BCTC du phong'!K$6/'Vốn lưu động'!J8*2-'Vốn lưu động'!I7</f>
        <v>12496665219.425238</v>
      </c>
      <c r="K7" s="2">
        <f>'BCTC du phong'!L$6/'Vốn lưu động'!K8*2-'Vốn lưu động'!J7</f>
        <v>16859684338.954119</v>
      </c>
    </row>
    <row r="8" spans="1:11" x14ac:dyDescent="0.25">
      <c r="A8" s="2" t="s">
        <v>49</v>
      </c>
      <c r="C8" s="2">
        <f>'BCTC du phong'!D$6/AVERAGE('Vốn lưu động'!B7:C7)</f>
        <v>542.43021280449648</v>
      </c>
      <c r="D8" s="2">
        <f>'BCTC du phong'!E$6/AVERAGE('Vốn lưu động'!C7:D7)</f>
        <v>326.50301598322028</v>
      </c>
      <c r="E8" s="2">
        <f>'BCTC du phong'!F$6/AVERAGE('Vốn lưu động'!D7:E7)</f>
        <v>136.65198531391985</v>
      </c>
      <c r="F8" s="2">
        <f>'BCTC du phong'!G$6/AVERAGE('Vốn lưu động'!E7:F7)</f>
        <v>117.1903532076749</v>
      </c>
      <c r="G8" s="98">
        <f>F8</f>
        <v>117.1903532076749</v>
      </c>
      <c r="H8" s="2">
        <f>G8</f>
        <v>117.1903532076749</v>
      </c>
      <c r="I8" s="2">
        <f>H8</f>
        <v>117.1903532076749</v>
      </c>
      <c r="J8" s="2">
        <f>I8</f>
        <v>117.1903532076749</v>
      </c>
      <c r="K8" s="2">
        <f>J8</f>
        <v>117.1903532076749</v>
      </c>
    </row>
    <row r="9" spans="1:11" x14ac:dyDescent="0.25">
      <c r="G9" s="2" t="str">
        <f>"&gt;="&amp;MIN(C8:F8)</f>
        <v>&gt;=117,190353207675</v>
      </c>
      <c r="H9" s="99" t="str">
        <f>"&lt;"&amp;MIN(C8:F8)*10</f>
        <v>&lt;1171,90353207675</v>
      </c>
    </row>
    <row r="10" spans="1:11" x14ac:dyDescent="0.25">
      <c r="A10" s="2" t="str">
        <f>'BCTC du phong'!B44</f>
        <v>3. Phải thu nội bộ ngắn hạn</v>
      </c>
      <c r="B10" s="2">
        <f>'BCTC du phong'!C44</f>
        <v>0</v>
      </c>
      <c r="C10" s="96">
        <f>'BCTC du phong'!D44</f>
        <v>0</v>
      </c>
      <c r="D10" s="96">
        <f>'BCTC du phong'!E44</f>
        <v>0</v>
      </c>
      <c r="E10" s="96">
        <f>'BCTC du phong'!F44</f>
        <v>0</v>
      </c>
      <c r="F10" s="96">
        <f>'BCTC du phong'!G44</f>
        <v>0</v>
      </c>
      <c r="G10" s="2">
        <f>G11*'BCTC du phong'!H$5</f>
        <v>0</v>
      </c>
      <c r="H10" s="2">
        <f>H11*'BCTC du phong'!I$5</f>
        <v>0</v>
      </c>
      <c r="I10" s="2">
        <f>I11*'BCTC du phong'!J$5</f>
        <v>0</v>
      </c>
      <c r="J10" s="2">
        <f>J11*'BCTC du phong'!K$5</f>
        <v>0</v>
      </c>
      <c r="K10" s="2">
        <f>K11*'BCTC du phong'!L$5</f>
        <v>0</v>
      </c>
    </row>
    <row r="11" spans="1:11" x14ac:dyDescent="0.25">
      <c r="A11" s="2" t="s">
        <v>31</v>
      </c>
      <c r="B11" s="56">
        <f>IFERROR(B10/'BCTC du phong'!C$5,0)</f>
        <v>0</v>
      </c>
      <c r="C11" s="56">
        <f>IFERROR(C10/'BCTC du phong'!D$5,0)</f>
        <v>0</v>
      </c>
      <c r="D11" s="56">
        <f>IFERROR(D10/'BCTC du phong'!E$5,0)</f>
        <v>0</v>
      </c>
      <c r="E11" s="56">
        <f>IFERROR(E10/'BCTC du phong'!F$5,0)</f>
        <v>0</v>
      </c>
      <c r="F11" s="56">
        <f>IFERROR(F10/'BCTC du phong'!G$5,0)</f>
        <v>0</v>
      </c>
      <c r="G11" s="56">
        <f>AVERAGE(E11:F11)</f>
        <v>0</v>
      </c>
      <c r="H11" s="56">
        <f>G11</f>
        <v>0</v>
      </c>
      <c r="I11" s="56">
        <f>H11</f>
        <v>0</v>
      </c>
      <c r="J11" s="56">
        <f>I11</f>
        <v>0</v>
      </c>
      <c r="K11" s="56">
        <f>J11</f>
        <v>0</v>
      </c>
    </row>
    <row r="13" spans="1:11" x14ac:dyDescent="0.25">
      <c r="A13" s="2" t="str">
        <f>'BCTC du phong'!B45</f>
        <v>4. Phải thu theo tiến độ kế hoạch hợp đồng xây dựng</v>
      </c>
      <c r="B13" s="2">
        <f>'BCTC du phong'!C45</f>
        <v>0</v>
      </c>
      <c r="C13" s="96">
        <f>'BCTC du phong'!D45</f>
        <v>0</v>
      </c>
      <c r="D13" s="96">
        <f>'BCTC du phong'!E45</f>
        <v>0</v>
      </c>
      <c r="E13" s="96">
        <f>'BCTC du phong'!F45</f>
        <v>0</v>
      </c>
      <c r="F13" s="96">
        <f>'BCTC du phong'!G45</f>
        <v>0</v>
      </c>
      <c r="G13" s="2">
        <f>G14*'BCTC du phong'!H$5</f>
        <v>0</v>
      </c>
      <c r="H13" s="2">
        <f>H14*'BCTC du phong'!I$5</f>
        <v>0</v>
      </c>
      <c r="I13" s="2">
        <f>I14*'BCTC du phong'!J$5</f>
        <v>0</v>
      </c>
      <c r="J13" s="2">
        <f>J14*'BCTC du phong'!K$5</f>
        <v>0</v>
      </c>
      <c r="K13" s="2">
        <f>K14*'BCTC du phong'!L$5</f>
        <v>0</v>
      </c>
    </row>
    <row r="14" spans="1:11" x14ac:dyDescent="0.25">
      <c r="A14" s="2" t="s">
        <v>31</v>
      </c>
      <c r="B14" s="56">
        <f>IFERROR(B13/'BCTC du phong'!C$5,0)</f>
        <v>0</v>
      </c>
      <c r="C14" s="56">
        <f>IFERROR(C13/'BCTC du phong'!D$5,0)</f>
        <v>0</v>
      </c>
      <c r="D14" s="56">
        <f>IFERROR(D13/'BCTC du phong'!E$5,0)</f>
        <v>0</v>
      </c>
      <c r="E14" s="56">
        <f>IFERROR(E13/'BCTC du phong'!F$5,0)</f>
        <v>0</v>
      </c>
      <c r="F14" s="56">
        <f>IFERROR(F13/'BCTC du phong'!G$5,0)</f>
        <v>0</v>
      </c>
      <c r="G14" s="56">
        <f>AVERAGE(E14:F14)</f>
        <v>0</v>
      </c>
      <c r="H14" s="56">
        <f>G14</f>
        <v>0</v>
      </c>
      <c r="I14" s="56">
        <f>H14</f>
        <v>0</v>
      </c>
      <c r="J14" s="56">
        <f>I14</f>
        <v>0</v>
      </c>
      <c r="K14" s="56">
        <f>J14</f>
        <v>0</v>
      </c>
    </row>
    <row r="15" spans="1:11" x14ac:dyDescent="0.25">
      <c r="G15" s="56"/>
    </row>
    <row r="16" spans="1:11" x14ac:dyDescent="0.25">
      <c r="A16" s="2" t="str">
        <f>'BCTC du phong'!B46</f>
        <v>5. Phải thu về cho vay ngắn hạn</v>
      </c>
      <c r="B16" s="2">
        <f>'BCTC du phong'!C46</f>
        <v>0</v>
      </c>
      <c r="C16" s="96">
        <f>'BCTC du phong'!D46</f>
        <v>0</v>
      </c>
      <c r="D16" s="96">
        <f>'BCTC du phong'!E46</f>
        <v>0</v>
      </c>
      <c r="E16" s="96">
        <f>'BCTC du phong'!F46</f>
        <v>0</v>
      </c>
      <c r="F16" s="96">
        <f>'BCTC du phong'!G46</f>
        <v>0</v>
      </c>
      <c r="G16" s="2">
        <f>G17*'BCTC du phong'!H$5</f>
        <v>0</v>
      </c>
      <c r="H16" s="2">
        <f>H17*'BCTC du phong'!I$5</f>
        <v>0</v>
      </c>
      <c r="I16" s="2">
        <f>I17*'BCTC du phong'!J$5</f>
        <v>0</v>
      </c>
      <c r="J16" s="2">
        <f>J17*'BCTC du phong'!K$5</f>
        <v>0</v>
      </c>
      <c r="K16" s="2">
        <f>K17*'BCTC du phong'!L$5</f>
        <v>0</v>
      </c>
    </row>
    <row r="17" spans="1:11" x14ac:dyDescent="0.25">
      <c r="A17" s="2" t="s">
        <v>31</v>
      </c>
      <c r="B17" s="56">
        <f>IFERROR(B16/'BCTC du phong'!C$5,0)</f>
        <v>0</v>
      </c>
      <c r="C17" s="56">
        <f>IFERROR(C16/'BCTC du phong'!D$5,0)</f>
        <v>0</v>
      </c>
      <c r="D17" s="56">
        <f>IFERROR(D16/'BCTC du phong'!E$5,0)</f>
        <v>0</v>
      </c>
      <c r="E17" s="56">
        <f>IFERROR(E16/'BCTC du phong'!F$5,0)</f>
        <v>0</v>
      </c>
      <c r="F17" s="56">
        <f>IFERROR(F16/'BCTC du phong'!G$5,0)</f>
        <v>0</v>
      </c>
      <c r="G17" s="56">
        <f>AVERAGE(E17:F17)</f>
        <v>0</v>
      </c>
      <c r="H17" s="56">
        <f>G17</f>
        <v>0</v>
      </c>
      <c r="I17" s="56">
        <f>H17</f>
        <v>0</v>
      </c>
      <c r="J17" s="56">
        <f>I17</f>
        <v>0</v>
      </c>
      <c r="K17" s="56">
        <f>J17</f>
        <v>0</v>
      </c>
    </row>
    <row r="19" spans="1:11" x14ac:dyDescent="0.25">
      <c r="A19" s="2" t="str">
        <f>'BCTC du phong'!B47</f>
        <v>6. Phải thu ngắn hạn khác</v>
      </c>
      <c r="B19" s="96">
        <f>'BCTC du phong'!C47</f>
        <v>19179287000</v>
      </c>
      <c r="C19" s="96">
        <f>'BCTC du phong'!D47</f>
        <v>14607612000</v>
      </c>
      <c r="D19" s="96">
        <f>'BCTC du phong'!E47</f>
        <v>19092372000</v>
      </c>
      <c r="E19" s="96">
        <f>'BCTC du phong'!F47</f>
        <v>24932746000</v>
      </c>
      <c r="F19" s="96">
        <f>'BCTC du phong'!G47</f>
        <v>14154382000</v>
      </c>
      <c r="G19" s="2">
        <f>G20*'BCTC du phong'!H$5</f>
        <v>19785815124.350922</v>
      </c>
      <c r="H19" s="2">
        <f>H20*'BCTC du phong'!I$5</f>
        <v>21612051204.295406</v>
      </c>
      <c r="I19" s="2">
        <f>I20*'BCTC du phong'!J$5</f>
        <v>24777590713.197277</v>
      </c>
      <c r="J19" s="2">
        <f>J20*'BCTC du phong'!K$5</f>
        <v>29757274122.941525</v>
      </c>
      <c r="K19" s="2">
        <f>K20*'BCTC du phong'!L$5</f>
        <v>37221966184.136932</v>
      </c>
    </row>
    <row r="20" spans="1:11" x14ac:dyDescent="0.25">
      <c r="A20" s="2" t="s">
        <v>31</v>
      </c>
      <c r="B20" s="56">
        <f>IFERROR(B19/'BCTC du phong'!C$5,0)</f>
        <v>1.554198375156793E-2</v>
      </c>
      <c r="C20" s="56">
        <f>IFERROR(C19/'BCTC du phong'!D$5,0)</f>
        <v>1.1329929399037377E-2</v>
      </c>
      <c r="D20" s="56">
        <f>IFERROR(D19/'BCTC du phong'!E$5,0)</f>
        <v>1.4251755025542526E-2</v>
      </c>
      <c r="E20" s="56">
        <f>IFERROR(E19/'BCTC du phong'!F$5,0)</f>
        <v>1.8000832554748301E-2</v>
      </c>
      <c r="F20" s="56">
        <f>IFERROR(F19/'BCTC du phong'!G$5,0)</f>
        <v>9.639386683231381E-3</v>
      </c>
      <c r="G20" s="56">
        <f>AVERAGE(E20:F20)</f>
        <v>1.3820109618989841E-2</v>
      </c>
      <c r="H20" s="56">
        <f>G20</f>
        <v>1.3820109618989841E-2</v>
      </c>
      <c r="I20" s="56">
        <f>H20</f>
        <v>1.3820109618989841E-2</v>
      </c>
      <c r="J20" s="56">
        <f>I20</f>
        <v>1.3820109618989841E-2</v>
      </c>
      <c r="K20" s="56">
        <f>J20</f>
        <v>1.3820109618989841E-2</v>
      </c>
    </row>
    <row r="22" spans="1:11" x14ac:dyDescent="0.25">
      <c r="A22" s="2" t="str">
        <f>'BCTC du phong'!B48</f>
        <v>7. Dự phòng phải thu ngắn hạn khó đòi (*)</v>
      </c>
      <c r="B22" s="2">
        <f>'BCTC du phong'!C48</f>
        <v>-4875787000</v>
      </c>
      <c r="C22" s="96">
        <f>'BCTC du phong'!D48</f>
        <v>-5527768000</v>
      </c>
      <c r="D22" s="96">
        <f>'BCTC du phong'!E48</f>
        <v>-2671484000</v>
      </c>
      <c r="E22" s="96">
        <f>'BCTC du phong'!F48</f>
        <v>-4167772000</v>
      </c>
      <c r="F22" s="96">
        <f>'BCTC du phong'!G48</f>
        <v>-4064415000</v>
      </c>
      <c r="G22" s="100">
        <f>-G23*G4</f>
        <v>-3486601202.5469685</v>
      </c>
      <c r="H22" s="100">
        <f>-H23*H4</f>
        <v>-5411768678.188736</v>
      </c>
      <c r="I22" s="100">
        <f>-I23*I4</f>
        <v>-4789954649.0117283</v>
      </c>
      <c r="J22" s="100">
        <f>-J23*J4</f>
        <v>-7462062953.8223515</v>
      </c>
      <c r="K22" s="100">
        <f>-K23*K4</f>
        <v>-7863406140.4234467</v>
      </c>
    </row>
    <row r="23" spans="1:11" x14ac:dyDescent="0.25">
      <c r="A23" s="2" t="s">
        <v>50</v>
      </c>
      <c r="B23" s="56">
        <f>-B22/B4</f>
        <v>1.6814136174899345E-2</v>
      </c>
      <c r="C23" s="56">
        <f>-C22/C4</f>
        <v>1.8371386226492734E-2</v>
      </c>
      <c r="D23" s="56">
        <f>-D22/D4</f>
        <v>7.0203030825028096E-3</v>
      </c>
      <c r="E23" s="56">
        <f>-E22/E4</f>
        <v>7.508151230378941E-3</v>
      </c>
      <c r="F23" s="56">
        <f>-F22/F4</f>
        <v>5.8067740904479302E-3</v>
      </c>
      <c r="G23" s="56">
        <f>AVERAGE(E23:F23)</f>
        <v>6.6574626604134352E-3</v>
      </c>
      <c r="H23" s="56">
        <f>G23</f>
        <v>6.6574626604134352E-3</v>
      </c>
      <c r="I23" s="56">
        <f>H23</f>
        <v>6.6574626604134352E-3</v>
      </c>
      <c r="J23" s="56">
        <f>I23</f>
        <v>6.6574626604134352E-3</v>
      </c>
      <c r="K23" s="56">
        <f>J23</f>
        <v>6.6574626604134352E-3</v>
      </c>
    </row>
    <row r="25" spans="1:11" x14ac:dyDescent="0.25">
      <c r="A25" s="2" t="str">
        <f>'BCTC du phong'!B49</f>
        <v>8. Tài sản thiếu chờ xử lý</v>
      </c>
      <c r="B25" s="96">
        <f>'BCTC du phong'!C49</f>
        <v>0</v>
      </c>
      <c r="C25" s="96">
        <f>'BCTC du phong'!D49</f>
        <v>0</v>
      </c>
      <c r="D25" s="96">
        <f>'BCTC du phong'!E49</f>
        <v>0</v>
      </c>
      <c r="E25" s="96">
        <f>'BCTC du phong'!F49</f>
        <v>0</v>
      </c>
      <c r="F25" s="96">
        <f>'BCTC du phong'!G49</f>
        <v>7924000</v>
      </c>
      <c r="G25" s="2">
        <f>G26*'BCTC du phong'!H$5</f>
        <v>3862917.3862704122</v>
      </c>
      <c r="H25" s="2">
        <f>H26*'BCTC du phong'!I$5</f>
        <v>4219465.7043616697</v>
      </c>
      <c r="I25" s="2">
        <f>I26*'BCTC du phong'!J$5</f>
        <v>4837495.213331121</v>
      </c>
      <c r="J25" s="2">
        <f>J26*'BCTC du phong'!K$5</f>
        <v>5809712.203165873</v>
      </c>
      <c r="K25" s="2">
        <f>K26*'BCTC du phong'!L$5</f>
        <v>7267094.0984842964</v>
      </c>
    </row>
    <row r="26" spans="1:11" x14ac:dyDescent="0.25">
      <c r="A26" s="2" t="s">
        <v>31</v>
      </c>
      <c r="B26" s="56">
        <f>IFERROR(B25/'BCTC du phong'!C$5,0)</f>
        <v>0</v>
      </c>
      <c r="C26" s="56">
        <f>IFERROR(C25/'BCTC du phong'!D$5,0)</f>
        <v>0</v>
      </c>
      <c r="D26" s="56">
        <f>IFERROR(D25/'BCTC du phong'!E$5,0)</f>
        <v>0</v>
      </c>
      <c r="E26" s="56">
        <f>IFERROR(E25/'BCTC du phong'!F$5,0)</f>
        <v>0</v>
      </c>
      <c r="F26" s="56">
        <f>IFERROR(F25/'BCTC du phong'!G$5,0)</f>
        <v>5.3963853793069505E-6</v>
      </c>
      <c r="G26" s="56">
        <f>AVERAGE(E26:F26)</f>
        <v>2.6981926896534752E-6</v>
      </c>
      <c r="H26" s="56">
        <f>G26</f>
        <v>2.6981926896534752E-6</v>
      </c>
      <c r="I26" s="56">
        <f>H26</f>
        <v>2.6981926896534752E-6</v>
      </c>
      <c r="J26" s="56">
        <f>I26</f>
        <v>2.6981926896534752E-6</v>
      </c>
      <c r="K26" s="56">
        <f>J26</f>
        <v>2.6981926896534752E-6</v>
      </c>
    </row>
    <row r="28" spans="1:11" x14ac:dyDescent="0.25">
      <c r="A28" s="2" t="str">
        <f>'BCTC du phong'!B50</f>
        <v>IV. Hàng tồn kho</v>
      </c>
      <c r="B28" s="96">
        <f>'BCTC du phong'!C50</f>
        <v>277343788000</v>
      </c>
      <c r="C28" s="96">
        <f>'BCTC du phong'!D50</f>
        <v>320318925000</v>
      </c>
      <c r="D28" s="96">
        <f>'BCTC du phong'!E50</f>
        <v>244889043000</v>
      </c>
      <c r="E28" s="96">
        <f>'BCTC du phong'!F50</f>
        <v>266490182000</v>
      </c>
      <c r="F28" s="96">
        <f>'BCTC du phong'!G50</f>
        <v>219139200000</v>
      </c>
      <c r="G28" s="2">
        <f>G29+G32</f>
        <v>235981473687.03491</v>
      </c>
      <c r="H28" s="2">
        <f>H29+H32</f>
        <v>261146961105.22626</v>
      </c>
      <c r="I28" s="2">
        <f>I29+I32</f>
        <v>308796390071.31024</v>
      </c>
      <c r="J28" s="2">
        <f>J29+J32</f>
        <v>375691489796.47491</v>
      </c>
      <c r="K28" s="2">
        <f>K29+K32</f>
        <v>480502011416.99469</v>
      </c>
    </row>
    <row r="29" spans="1:11" x14ac:dyDescent="0.25">
      <c r="A29" s="2" t="str">
        <f>'BCTC du phong'!B51</f>
        <v>1. Hàng tồn kho</v>
      </c>
      <c r="B29" s="96">
        <f>'BCTC du phong'!C51</f>
        <v>277921069000</v>
      </c>
      <c r="C29" s="96">
        <f>'BCTC du phong'!D51</f>
        <v>320318925000</v>
      </c>
      <c r="D29" s="96">
        <f>'BCTC du phong'!E51</f>
        <v>244889043000</v>
      </c>
      <c r="E29" s="96">
        <f>'BCTC du phong'!F51</f>
        <v>266490182000</v>
      </c>
      <c r="F29" s="96">
        <f>'BCTC du phong'!G51</f>
        <v>219139200000</v>
      </c>
      <c r="G29" s="2">
        <f>'BCTC du phong'!H$6/'Vốn lưu động'!G30*2-'Vốn lưu động'!F29</f>
        <v>235981473687.03491</v>
      </c>
      <c r="H29" s="2">
        <f>'BCTC du phong'!I$6/'Vốn lưu động'!H30*2-'Vốn lưu động'!G29</f>
        <v>261146961105.22626</v>
      </c>
      <c r="I29" s="2">
        <f>'BCTC du phong'!J$6/'Vốn lưu động'!I30*2-'Vốn lưu động'!H29</f>
        <v>308796390071.31024</v>
      </c>
      <c r="J29" s="2">
        <f>'BCTC du phong'!K$6/'Vốn lưu động'!J30*2-'Vốn lưu động'!I29</f>
        <v>375691489796.47491</v>
      </c>
      <c r="K29" s="2">
        <f>'BCTC du phong'!L$6/'Vốn lưu động'!K30*2-'Vốn lưu động'!J29</f>
        <v>480502011416.99469</v>
      </c>
    </row>
    <row r="30" spans="1:11" x14ac:dyDescent="0.25">
      <c r="A30" s="2" t="s">
        <v>51</v>
      </c>
      <c r="C30" s="97">
        <f>'BCTC du phong'!D$6/AVERAGE('Vốn lưu động'!B29:C29)</f>
        <v>2.6430380246359793</v>
      </c>
      <c r="D30" s="97">
        <f>'BCTC du phong'!E$6/AVERAGE('Vốn lưu động'!C29:D29)</f>
        <v>2.8480418450151785</v>
      </c>
      <c r="E30" s="97">
        <f>'BCTC du phong'!F$6/AVERAGE('Vốn lưu động'!D29:E29)</f>
        <v>3.5046228833406361</v>
      </c>
      <c r="F30" s="97">
        <f>'BCTC du phong'!G$6/AVERAGE('Vốn lưu động'!E29:F29)</f>
        <v>4.0181115235733413</v>
      </c>
      <c r="G30" s="101">
        <f>F30</f>
        <v>4.0181115235733413</v>
      </c>
      <c r="H30" s="99">
        <f>G30</f>
        <v>4.0181115235733413</v>
      </c>
      <c r="I30" s="99">
        <f>H30</f>
        <v>4.0181115235733413</v>
      </c>
      <c r="J30" s="99">
        <f>I30</f>
        <v>4.0181115235733413</v>
      </c>
      <c r="K30" s="99">
        <f>J30</f>
        <v>4.0181115235733413</v>
      </c>
    </row>
    <row r="31" spans="1:11" x14ac:dyDescent="0.25">
      <c r="G31" s="2" t="str">
        <f>"&gt;="&amp;MIN(C30:F30)</f>
        <v>&gt;=2,64303802463598</v>
      </c>
      <c r="H31" s="99" t="str">
        <f>"&lt;"&amp;MIN(C30:F30)*10</f>
        <v>&lt;26,4303802463598</v>
      </c>
    </row>
    <row r="32" spans="1:11" x14ac:dyDescent="0.25">
      <c r="A32" s="2" t="str">
        <f>'BCTC du phong'!B52</f>
        <v>2. Dự phòng giảm giá hàng tồn kho (*)</v>
      </c>
      <c r="B32" s="96">
        <f>'BCTC du phong'!C52</f>
        <v>-577281000</v>
      </c>
      <c r="C32" s="96">
        <f>'BCTC du phong'!D52</f>
        <v>0</v>
      </c>
      <c r="D32" s="96">
        <f>'BCTC du phong'!E52</f>
        <v>0</v>
      </c>
      <c r="E32" s="96">
        <f>'BCTC du phong'!F52</f>
        <v>0</v>
      </c>
      <c r="F32" s="96">
        <f>'BCTC du phong'!G52</f>
        <v>0</v>
      </c>
      <c r="G32" s="100">
        <f>-G33*G29</f>
        <v>0</v>
      </c>
      <c r="H32" s="100">
        <f>-H33*H29</f>
        <v>0</v>
      </c>
      <c r="I32" s="100">
        <f>-I33*I29</f>
        <v>0</v>
      </c>
      <c r="J32" s="100">
        <f>-J33*J29</f>
        <v>0</v>
      </c>
      <c r="K32" s="100">
        <f>-K33*K29</f>
        <v>0</v>
      </c>
    </row>
    <row r="33" spans="1:11" x14ac:dyDescent="0.25">
      <c r="A33" s="2" t="s">
        <v>52</v>
      </c>
      <c r="B33" s="60">
        <f>-B32/B29</f>
        <v>2.0771401105973727E-3</v>
      </c>
      <c r="C33" s="60">
        <f>-C32/C29</f>
        <v>0</v>
      </c>
      <c r="D33" s="60">
        <f>-D32/D29</f>
        <v>0</v>
      </c>
      <c r="E33" s="60">
        <f>-E32/E29</f>
        <v>0</v>
      </c>
      <c r="F33" s="60">
        <f>-F32/F29</f>
        <v>0</v>
      </c>
      <c r="G33" s="60">
        <f>AVERAGE(E33:F33)</f>
        <v>0</v>
      </c>
      <c r="H33" s="60">
        <f>G33</f>
        <v>0</v>
      </c>
      <c r="I33" s="60">
        <f>H33</f>
        <v>0</v>
      </c>
      <c r="J33" s="60">
        <f>I33</f>
        <v>0</v>
      </c>
      <c r="K33" s="60">
        <f>J33</f>
        <v>0</v>
      </c>
    </row>
    <row r="35" spans="1:11" x14ac:dyDescent="0.25">
      <c r="A35" s="2" t="str">
        <f>'BCTC du phong'!B53</f>
        <v>V. Tài sản ngắn hạn khác</v>
      </c>
      <c r="B35" s="96">
        <f>'BCTC du phong'!C53</f>
        <v>1623493000</v>
      </c>
      <c r="C35" s="96">
        <f>'BCTC du phong'!D53</f>
        <v>3984368000</v>
      </c>
      <c r="D35" s="96">
        <f>'BCTC du phong'!E53</f>
        <v>5039336000</v>
      </c>
      <c r="E35" s="96">
        <f>'BCTC du phong'!F53</f>
        <v>10306780000</v>
      </c>
      <c r="F35" s="96">
        <f>'BCTC du phong'!G53</f>
        <v>3864663000</v>
      </c>
      <c r="G35" s="2">
        <f>G36+G39+G42+G45+G48</f>
        <v>7210704275.165534</v>
      </c>
      <c r="H35" s="2">
        <f>H36+H39+H42+H45+H48</f>
        <v>7876254227.3082952</v>
      </c>
      <c r="I35" s="2">
        <f>I36+I39+I42+I45+I48</f>
        <v>9029897336.1005058</v>
      </c>
      <c r="J35" s="2">
        <f>J36+J39+J42+J45+J48</f>
        <v>10844683546.622707</v>
      </c>
      <c r="K35" s="2">
        <f>K36+K39+K42+K45+K48</f>
        <v>13565101513.745594</v>
      </c>
    </row>
    <row r="36" spans="1:11" x14ac:dyDescent="0.25">
      <c r="A36" s="2" t="str">
        <f>'BCTC du phong'!B54</f>
        <v>1. Chi phí trả trước ngắn hạn</v>
      </c>
      <c r="B36" s="96">
        <f>'BCTC du phong'!C54</f>
        <v>1622172000</v>
      </c>
      <c r="C36" s="96">
        <f>'BCTC du phong'!D54</f>
        <v>3984368000</v>
      </c>
      <c r="D36" s="96">
        <f>'BCTC du phong'!E54</f>
        <v>4797474000</v>
      </c>
      <c r="E36" s="96">
        <f>'BCTC du phong'!F54</f>
        <v>8591455000</v>
      </c>
      <c r="F36" s="96">
        <f>'BCTC du phong'!G54</f>
        <v>3840044000</v>
      </c>
      <c r="G36" s="2">
        <f>G37*'BCTC du phong'!H$5</f>
        <v>6312196749.0781603</v>
      </c>
      <c r="H36" s="2">
        <f>H37*'BCTC du phong'!I$5</f>
        <v>6894814213.884428</v>
      </c>
      <c r="I36" s="2">
        <f>I37*'BCTC du phong'!J$5</f>
        <v>7904704788.0957022</v>
      </c>
      <c r="J36" s="2">
        <f>J37*'BCTC du phong'!K$5</f>
        <v>9493355103.1257343</v>
      </c>
      <c r="K36" s="2">
        <f>K37*'BCTC du phong'!L$5</f>
        <v>11874788704.188606</v>
      </c>
    </row>
    <row r="37" spans="1:11" x14ac:dyDescent="0.25">
      <c r="A37" s="2" t="s">
        <v>31</v>
      </c>
      <c r="B37" s="56">
        <f>IFERROR(B36/'BCTC du phong'!C$5,0)</f>
        <v>1.3145311849313507E-3</v>
      </c>
      <c r="C37" s="56">
        <f>IFERROR(C36/'BCTC du phong'!D$5,0)</f>
        <v>3.0903482471867239E-3</v>
      </c>
      <c r="D37" s="56">
        <f>IFERROR(D36/'BCTC du phong'!E$5,0)</f>
        <v>3.5811382781254001E-3</v>
      </c>
      <c r="E37" s="56">
        <f>IFERROR(E36/'BCTC du phong'!F$5,0)</f>
        <v>6.2028202933064438E-3</v>
      </c>
      <c r="F37" s="56">
        <f>IFERROR(F36/'BCTC du phong'!G$5,0)</f>
        <v>2.6151384777253128E-3</v>
      </c>
      <c r="G37" s="56">
        <f>AVERAGE(E37:F37)</f>
        <v>4.4089793855158783E-3</v>
      </c>
      <c r="H37" s="56">
        <f>G37</f>
        <v>4.4089793855158783E-3</v>
      </c>
      <c r="I37" s="56">
        <f>H37</f>
        <v>4.4089793855158783E-3</v>
      </c>
      <c r="J37" s="56">
        <f>I37</f>
        <v>4.4089793855158783E-3</v>
      </c>
      <c r="K37" s="56">
        <f>J37</f>
        <v>4.4089793855158783E-3</v>
      </c>
    </row>
    <row r="39" spans="1:11" x14ac:dyDescent="0.25">
      <c r="A39" s="2" t="str">
        <f>'BCTC du phong'!B55</f>
        <v>2. Thuế GTGT được khấu trừ</v>
      </c>
      <c r="B39" s="96">
        <f>'BCTC du phong'!C55</f>
        <v>0</v>
      </c>
      <c r="C39" s="96">
        <f>'BCTC du phong'!D55</f>
        <v>0</v>
      </c>
      <c r="D39" s="96">
        <f>'BCTC du phong'!E55</f>
        <v>0</v>
      </c>
      <c r="E39" s="96">
        <f>'BCTC du phong'!F55</f>
        <v>0</v>
      </c>
      <c r="F39" s="96">
        <f>'BCTC du phong'!G55</f>
        <v>0</v>
      </c>
      <c r="G39" s="2">
        <f>G40*'BCTC du phong'!H$5</f>
        <v>0</v>
      </c>
      <c r="H39" s="2">
        <f>H40*'BCTC du phong'!I$5</f>
        <v>0</v>
      </c>
      <c r="I39" s="2">
        <f>I40*'BCTC du phong'!J$5</f>
        <v>0</v>
      </c>
      <c r="J39" s="2">
        <f>J40*'BCTC du phong'!K$5</f>
        <v>0</v>
      </c>
      <c r="K39" s="2">
        <f>K40*'BCTC du phong'!L$5</f>
        <v>0</v>
      </c>
    </row>
    <row r="40" spans="1:11" x14ac:dyDescent="0.25">
      <c r="A40" s="2" t="s">
        <v>31</v>
      </c>
      <c r="B40" s="56">
        <f>IFERROR(B39/'BCTC du phong'!C$5,0)</f>
        <v>0</v>
      </c>
      <c r="C40" s="56">
        <f>IFERROR(C39/'BCTC du phong'!D$5,0)</f>
        <v>0</v>
      </c>
      <c r="D40" s="56">
        <f>IFERROR(D39/'BCTC du phong'!E$5,0)</f>
        <v>0</v>
      </c>
      <c r="E40" s="56">
        <f>IFERROR(E39/'BCTC du phong'!F$5,0)</f>
        <v>0</v>
      </c>
      <c r="F40" s="56">
        <f>IFERROR(F39/'BCTC du phong'!G$5,0)</f>
        <v>0</v>
      </c>
      <c r="G40" s="56">
        <f>AVERAGE(E40:F40)</f>
        <v>0</v>
      </c>
      <c r="H40" s="56">
        <f>G40</f>
        <v>0</v>
      </c>
      <c r="I40" s="56">
        <f>H40</f>
        <v>0</v>
      </c>
      <c r="J40" s="56">
        <f>I40</f>
        <v>0</v>
      </c>
      <c r="K40" s="56">
        <f>J40</f>
        <v>0</v>
      </c>
    </row>
    <row r="42" spans="1:11" x14ac:dyDescent="0.25">
      <c r="A42" s="2" t="str">
        <f>'BCTC du phong'!B56</f>
        <v>3. Thuế và các khoản khác phải thu của nhà nước</v>
      </c>
      <c r="B42" s="96">
        <f>'BCTC du phong'!C56</f>
        <v>1321000</v>
      </c>
      <c r="C42" s="96">
        <f>'BCTC du phong'!D56</f>
        <v>0</v>
      </c>
      <c r="D42" s="96">
        <f>'BCTC du phong'!E56</f>
        <v>241862000</v>
      </c>
      <c r="E42" s="96">
        <f>'BCTC du phong'!F56</f>
        <v>1715326000</v>
      </c>
      <c r="F42" s="96">
        <f>'BCTC du phong'!G56</f>
        <v>24619000</v>
      </c>
      <c r="G42" s="2">
        <f>G43*'BCTC du phong'!H$5</f>
        <v>898507526.08737385</v>
      </c>
      <c r="H42" s="2">
        <f>H43*'BCTC du phong'!I$5</f>
        <v>981440013.42386687</v>
      </c>
      <c r="I42" s="2">
        <f>I43*'BCTC du phong'!J$5</f>
        <v>1125192548.0048027</v>
      </c>
      <c r="J42" s="2">
        <f>J43*'BCTC du phong'!K$5</f>
        <v>1351328443.496974</v>
      </c>
      <c r="K42" s="2">
        <f>K43*'BCTC du phong'!L$5</f>
        <v>1690312809.5569887</v>
      </c>
    </row>
    <row r="43" spans="1:11" x14ac:dyDescent="0.25">
      <c r="A43" s="2" t="s">
        <v>31</v>
      </c>
      <c r="B43" s="56">
        <f>IFERROR(B42/'BCTC du phong'!C$5,0)</f>
        <v>1.0704756926480758E-6</v>
      </c>
      <c r="C43" s="56">
        <f>IFERROR(C42/'BCTC du phong'!D$5,0)</f>
        <v>0</v>
      </c>
      <c r="D43" s="56">
        <f>IFERROR(D42/'BCTC du phong'!E$5,0)</f>
        <v>1.8054110688749237E-4</v>
      </c>
      <c r="E43" s="56">
        <f>IFERROR(E42/'BCTC du phong'!F$5,0)</f>
        <v>1.2384234012092444E-3</v>
      </c>
      <c r="F43" s="56">
        <f>IFERROR(F42/'BCTC du phong'!G$5,0)</f>
        <v>1.6765978250019916E-5</v>
      </c>
      <c r="G43" s="56">
        <f>AVERAGE(E43:F43)</f>
        <v>6.2759468972963222E-4</v>
      </c>
      <c r="H43" s="56">
        <f>G43</f>
        <v>6.2759468972963222E-4</v>
      </c>
      <c r="I43" s="56">
        <f>H43</f>
        <v>6.2759468972963222E-4</v>
      </c>
      <c r="J43" s="56">
        <f>I43</f>
        <v>6.2759468972963222E-4</v>
      </c>
      <c r="K43" s="56">
        <f>J43</f>
        <v>6.2759468972963222E-4</v>
      </c>
    </row>
    <row r="45" spans="1:11" x14ac:dyDescent="0.25">
      <c r="A45" s="2" t="str">
        <f>'BCTC du phong'!B57</f>
        <v>4. Giao dịch mua bán lại trái phiếu chính phủ</v>
      </c>
      <c r="B45" s="96">
        <f>'BCTC du phong'!C57</f>
        <v>0</v>
      </c>
      <c r="C45" s="96">
        <f>'BCTC du phong'!D57</f>
        <v>0</v>
      </c>
      <c r="D45" s="102">
        <f>'BCTC du phong'!E57</f>
        <v>0</v>
      </c>
      <c r="E45" s="96">
        <f>'BCTC du phong'!F57</f>
        <v>0</v>
      </c>
      <c r="F45" s="96">
        <f>'BCTC du phong'!G57</f>
        <v>0</v>
      </c>
      <c r="G45" s="2">
        <f>G46*'BCTC du phong'!H$5</f>
        <v>0</v>
      </c>
      <c r="H45" s="2">
        <f>H46*'BCTC du phong'!I$5</f>
        <v>0</v>
      </c>
      <c r="I45" s="2">
        <f>I46*'BCTC du phong'!J$5</f>
        <v>0</v>
      </c>
      <c r="J45" s="2">
        <f>J46*'BCTC du phong'!K$5</f>
        <v>0</v>
      </c>
      <c r="K45" s="2">
        <f>K46*'BCTC du phong'!L$5</f>
        <v>0</v>
      </c>
    </row>
    <row r="46" spans="1:11" x14ac:dyDescent="0.25">
      <c r="A46" s="2" t="s">
        <v>31</v>
      </c>
      <c r="B46" s="56">
        <f>IFERROR(B45/'BCTC du phong'!C$5,0)</f>
        <v>0</v>
      </c>
      <c r="C46" s="56">
        <f>IFERROR(C45/'BCTC du phong'!D$5,0)</f>
        <v>0</v>
      </c>
      <c r="D46" s="56">
        <f>IFERROR(D45/'BCTC du phong'!E$5,0)</f>
        <v>0</v>
      </c>
      <c r="E46" s="56">
        <f>IFERROR(E45/'BCTC du phong'!F$5,0)</f>
        <v>0</v>
      </c>
      <c r="F46" s="56">
        <f>IFERROR(F45/'BCTC du phong'!G$5,0)</f>
        <v>0</v>
      </c>
      <c r="G46" s="56">
        <f>AVERAGE(E46:F46)</f>
        <v>0</v>
      </c>
      <c r="H46" s="56">
        <f>G46</f>
        <v>0</v>
      </c>
      <c r="I46" s="56">
        <f>H46</f>
        <v>0</v>
      </c>
      <c r="J46" s="56">
        <f>I46</f>
        <v>0</v>
      </c>
      <c r="K46" s="56">
        <f>J46</f>
        <v>0</v>
      </c>
    </row>
    <row r="48" spans="1:11" x14ac:dyDescent="0.25">
      <c r="A48" s="2" t="str">
        <f>'BCTC du phong'!B58</f>
        <v>5. Tài sản ngắn hạn khác</v>
      </c>
      <c r="B48" s="96">
        <f>'BCTC du phong'!C58</f>
        <v>0</v>
      </c>
      <c r="C48" s="96">
        <f>'BCTC du phong'!D58</f>
        <v>0</v>
      </c>
      <c r="D48" s="96">
        <f>'BCTC du phong'!E58</f>
        <v>0</v>
      </c>
      <c r="E48" s="96">
        <f>'BCTC du phong'!F58</f>
        <v>0</v>
      </c>
      <c r="F48" s="96">
        <f>'BCTC du phong'!G58</f>
        <v>0</v>
      </c>
      <c r="G48" s="2">
        <f>G49*'BCTC du phong'!H$5</f>
        <v>0</v>
      </c>
      <c r="H48" s="2">
        <f>H49*'BCTC du phong'!I$5</f>
        <v>0</v>
      </c>
      <c r="I48" s="2">
        <f>I49*'BCTC du phong'!J$5</f>
        <v>0</v>
      </c>
      <c r="J48" s="2">
        <f>J49*'BCTC du phong'!K$5</f>
        <v>0</v>
      </c>
      <c r="K48" s="2">
        <f>K49*'BCTC du phong'!L$5</f>
        <v>0</v>
      </c>
    </row>
    <row r="49" spans="1:11" x14ac:dyDescent="0.25">
      <c r="A49" s="2" t="s">
        <v>31</v>
      </c>
      <c r="B49" s="56">
        <f>IFERROR(B48/'BCTC du phong'!C$5,0)</f>
        <v>0</v>
      </c>
      <c r="C49" s="56">
        <f>IFERROR(C48/'BCTC du phong'!D$5,0)</f>
        <v>0</v>
      </c>
      <c r="D49" s="56">
        <f>IFERROR(D48/'BCTC du phong'!E$5,0)</f>
        <v>0</v>
      </c>
      <c r="E49" s="56">
        <f>IFERROR(E48/'BCTC du phong'!F$5,0)</f>
        <v>0</v>
      </c>
      <c r="F49" s="56">
        <f>IFERROR(F48/'BCTC du phong'!G$5,0)</f>
        <v>0</v>
      </c>
      <c r="G49" s="56">
        <f>AVERAGE(E49:F49)</f>
        <v>0</v>
      </c>
      <c r="H49" s="56">
        <f>G49</f>
        <v>0</v>
      </c>
      <c r="I49" s="56">
        <f>H49</f>
        <v>0</v>
      </c>
      <c r="J49" s="56">
        <f>I49</f>
        <v>0</v>
      </c>
      <c r="K49" s="56">
        <f>J49</f>
        <v>0</v>
      </c>
    </row>
    <row r="52" spans="1:11" x14ac:dyDescent="0.25">
      <c r="A52" s="95" t="s">
        <v>53</v>
      </c>
      <c r="B52" s="2">
        <f>B54+B57+B60+B63+B72+B75+B78+B81+B69+B66</f>
        <v>192144266000</v>
      </c>
      <c r="C52" s="2">
        <f t="shared" ref="C52:K52" si="0">C54+C57+C60+C63+C72+C75+C78+C81+C69+C66</f>
        <v>199291344000</v>
      </c>
      <c r="D52" s="2">
        <f t="shared" si="0"/>
        <v>349556194000</v>
      </c>
      <c r="E52" s="2">
        <f t="shared" si="0"/>
        <v>308702309000</v>
      </c>
      <c r="F52" s="2">
        <f t="shared" si="0"/>
        <v>272582295000</v>
      </c>
      <c r="G52" s="2">
        <f t="shared" si="0"/>
        <v>262403407679.18951</v>
      </c>
      <c r="H52" s="2">
        <f t="shared" si="0"/>
        <v>337755369786.82898</v>
      </c>
      <c r="I52" s="2">
        <f t="shared" si="0"/>
        <v>346347326181.81189</v>
      </c>
      <c r="J52" s="2">
        <f t="shared" si="0"/>
        <v>470888814938.87878</v>
      </c>
      <c r="K52" s="2">
        <f t="shared" si="0"/>
        <v>546784912718.22211</v>
      </c>
    </row>
    <row r="54" spans="1:11" x14ac:dyDescent="0.25">
      <c r="A54" s="2" t="str">
        <f>'BCTC du phong'!B103</f>
        <v>1. Phải trả người bán ngắn hạn</v>
      </c>
      <c r="B54" s="96">
        <f>'BCTC du phong'!C103</f>
        <v>137615613000</v>
      </c>
      <c r="C54" s="96">
        <f>'BCTC du phong'!D103</f>
        <v>120021312000</v>
      </c>
      <c r="D54" s="96">
        <f>'BCTC du phong'!E103</f>
        <v>162270656000</v>
      </c>
      <c r="E54" s="96">
        <f>'BCTC du phong'!F103</f>
        <v>216705486000</v>
      </c>
      <c r="F54" s="96">
        <f>'BCTC du phong'!G103</f>
        <v>220083387000</v>
      </c>
      <c r="G54" s="2">
        <f>'BCTC du phong'!H$6/'Vốn lưu động'!G55*2-'Vốn lưu động'!F54</f>
        <v>189265086356.50043</v>
      </c>
      <c r="H54" s="2">
        <f>'BCTC du phong'!I$6/'Vốn lưu động'!H55*2-'Vốn lưu động'!G54</f>
        <v>257866361652.06708</v>
      </c>
      <c r="I54" s="2">
        <f>'BCTC du phong'!J$6/'Vốn lưu động'!I55*2-'Vốn lưu động'!H54</f>
        <v>254756892338.44757</v>
      </c>
      <c r="J54" s="2">
        <f>'BCTC du phong'!K$6/'Vốn lưu động'!J55*2-'Vốn lưu động'!I54</f>
        <v>360890967348.9411</v>
      </c>
      <c r="K54" s="2">
        <f>'BCTC du phong'!L$6/'Vốn lưu động'!K55*2-'Vốn lưu động'!J54</f>
        <v>409193809904.00433</v>
      </c>
    </row>
    <row r="55" spans="1:11" x14ac:dyDescent="0.25">
      <c r="A55" s="2" t="s">
        <v>54</v>
      </c>
      <c r="C55" s="2">
        <f>'BCTC du phong'!D6/AVERAGE('Vốn lưu động'!B54:C54)</f>
        <v>6.1372066601089887</v>
      </c>
      <c r="D55" s="2">
        <f>'BCTC du phong'!E6/AVERAGE('Vốn lưu động'!C54:D54)</f>
        <v>5.7023795448547796</v>
      </c>
      <c r="E55" s="97">
        <f>'BCTC du phong'!F6/AVERAGE('Vốn lưu động'!D54:E54)</f>
        <v>4.7290347211355588</v>
      </c>
      <c r="F55" s="97">
        <f>'BCTC du phong'!G6/AVERAGE('Vốn lưu động'!E54:F54)</f>
        <v>4.46740550554272</v>
      </c>
      <c r="G55" s="155">
        <f>F55</f>
        <v>4.46740550554272</v>
      </c>
      <c r="H55" s="2">
        <f>G55</f>
        <v>4.46740550554272</v>
      </c>
      <c r="I55" s="2">
        <f>H55</f>
        <v>4.46740550554272</v>
      </c>
      <c r="J55" s="2">
        <f>I55</f>
        <v>4.46740550554272</v>
      </c>
      <c r="K55" s="2">
        <f>J55</f>
        <v>4.46740550554272</v>
      </c>
    </row>
    <row r="56" spans="1:11" x14ac:dyDescent="0.25">
      <c r="G56" s="2" t="str">
        <f>"&gt;="&amp;MIN(C55:F55)</f>
        <v>&gt;=4,46740550554272</v>
      </c>
      <c r="H56" s="99" t="str">
        <f>"&lt;"&amp;MIN(C55:F55)*10</f>
        <v>&lt;44,6740550554272</v>
      </c>
    </row>
    <row r="57" spans="1:11" x14ac:dyDescent="0.25">
      <c r="A57" s="2" t="str">
        <f>'BCTC du phong'!B104</f>
        <v>2. Người mua trả tiền trước ngắn hạn</v>
      </c>
      <c r="B57" s="96">
        <f>'BCTC du phong'!C104</f>
        <v>7262977000</v>
      </c>
      <c r="C57" s="96">
        <f>'BCTC du phong'!D104</f>
        <v>5293777000</v>
      </c>
      <c r="D57" s="96">
        <f>'BCTC du phong'!E104</f>
        <v>964967000</v>
      </c>
      <c r="E57" s="96">
        <f>'BCTC du phong'!F104</f>
        <v>653649000</v>
      </c>
      <c r="F57" s="96">
        <f>'BCTC du phong'!G104</f>
        <v>1549210000</v>
      </c>
      <c r="G57" s="2">
        <f>G58*'BCTC du phong'!H$5</f>
        <v>1093048976.432709</v>
      </c>
      <c r="H57" s="2">
        <f>H58*'BCTC du phong'!I$5</f>
        <v>1193937692.179935</v>
      </c>
      <c r="I57" s="2">
        <f>I58*'BCTC du phong'!J$5</f>
        <v>1368814981.7086372</v>
      </c>
      <c r="J57" s="2">
        <f>J58*'BCTC du phong'!K$5</f>
        <v>1643912965.7831471</v>
      </c>
      <c r="K57" s="2">
        <f>K58*'BCTC du phong'!L$5</f>
        <v>2056292944.3483558</v>
      </c>
    </row>
    <row r="58" spans="1:11" x14ac:dyDescent="0.25">
      <c r="A58" s="2" t="s">
        <v>31</v>
      </c>
      <c r="B58" s="56">
        <f>IFERROR(B57/'BCTC du phong'!C$5,0)</f>
        <v>5.8855717901302373E-3</v>
      </c>
      <c r="C58" s="56">
        <f>IFERROR(C57/'BCTC du phong'!D$5,0)</f>
        <v>4.1059496695454323E-3</v>
      </c>
      <c r="D58" s="56">
        <f>IFERROR(D57/'BCTC du phong'!E$5,0)</f>
        <v>7.2031245210038303E-4</v>
      </c>
      <c r="E58" s="56">
        <f>IFERROR(E57/'BCTC du phong'!F$5,0)</f>
        <v>4.7191858444227012E-4</v>
      </c>
      <c r="F58" s="56">
        <f>IFERROR(F57/'BCTC du phong'!G$5,0)</f>
        <v>1.0550396508677588E-3</v>
      </c>
      <c r="G58" s="56">
        <f>AVERAGE(E58:F58)</f>
        <v>7.6347911765501449E-4</v>
      </c>
      <c r="H58" s="56">
        <f>G58</f>
        <v>7.6347911765501449E-4</v>
      </c>
      <c r="I58" s="56">
        <f>H58</f>
        <v>7.6347911765501449E-4</v>
      </c>
      <c r="J58" s="56">
        <f>I58</f>
        <v>7.6347911765501449E-4</v>
      </c>
      <c r="K58" s="56">
        <f>J58</f>
        <v>7.6347911765501449E-4</v>
      </c>
    </row>
    <row r="60" spans="1:11" x14ac:dyDescent="0.25">
      <c r="A60" s="2" t="str">
        <f>'BCTC du phong'!B105</f>
        <v>3. Thuế và các khoản phải nộp Nhà nước</v>
      </c>
      <c r="B60" s="96">
        <f>'BCTC du phong'!C105</f>
        <v>16908625000</v>
      </c>
      <c r="C60" s="96">
        <f>'BCTC du phong'!D105</f>
        <v>17905654000</v>
      </c>
      <c r="D60" s="96">
        <f>'BCTC du phong'!E105</f>
        <v>21363506000</v>
      </c>
      <c r="E60" s="96">
        <f>'BCTC du phong'!F105</f>
        <v>18447952000</v>
      </c>
      <c r="F60" s="96">
        <f>'BCTC du phong'!G105</f>
        <v>17712191000</v>
      </c>
      <c r="G60" s="2">
        <f>G61*'BCTC du phong'!H$5</f>
        <v>18168794849.53458</v>
      </c>
      <c r="H60" s="2">
        <f>H61*'BCTC du phong'!I$5</f>
        <v>19845779521.371197</v>
      </c>
      <c r="I60" s="2">
        <f>I61*'BCTC du phong'!J$5</f>
        <v>22752611388.740185</v>
      </c>
      <c r="J60" s="2">
        <f>J61*'BCTC du phong'!K$5</f>
        <v>27325323997.174713</v>
      </c>
      <c r="K60" s="2">
        <f>K61*'BCTC du phong'!L$5</f>
        <v>34179954843.689209</v>
      </c>
    </row>
    <row r="61" spans="1:11" x14ac:dyDescent="0.25">
      <c r="A61" s="2" t="s">
        <v>31</v>
      </c>
      <c r="B61" s="56">
        <f>IFERROR(B60/'BCTC du phong'!C$5,0)</f>
        <v>1.3701947054202551E-2</v>
      </c>
      <c r="C61" s="56">
        <f>IFERROR(C60/'BCTC du phong'!D$5,0)</f>
        <v>1.3887950724840666E-2</v>
      </c>
      <c r="D61" s="56">
        <f>IFERROR(D60/'BCTC du phong'!E$5,0)</f>
        <v>1.5947073208017731E-2</v>
      </c>
      <c r="E61" s="56">
        <f>IFERROR(E60/'BCTC du phong'!F$5,0)</f>
        <v>1.331896995742202E-2</v>
      </c>
      <c r="F61" s="56">
        <f>IFERROR(F60/'BCTC du phong'!G$5,0)</f>
        <v>1.2062318090344793E-2</v>
      </c>
      <c r="G61" s="56">
        <f>AVERAGE(E61:F61)</f>
        <v>1.2690644023883407E-2</v>
      </c>
      <c r="H61" s="56">
        <f>G61</f>
        <v>1.2690644023883407E-2</v>
      </c>
      <c r="I61" s="56">
        <f>H61</f>
        <v>1.2690644023883407E-2</v>
      </c>
      <c r="J61" s="56">
        <f>I61</f>
        <v>1.2690644023883407E-2</v>
      </c>
      <c r="K61" s="56">
        <f>J61</f>
        <v>1.2690644023883407E-2</v>
      </c>
    </row>
    <row r="63" spans="1:11" x14ac:dyDescent="0.25">
      <c r="A63" s="2" t="str">
        <f>'BCTC du phong'!B106</f>
        <v>4. Phải trả người lao động</v>
      </c>
      <c r="B63" s="96">
        <f>'BCTC du phong'!C106</f>
        <v>13882890000</v>
      </c>
      <c r="C63" s="96">
        <f>'BCTC du phong'!D106</f>
        <v>24060726000</v>
      </c>
      <c r="D63" s="96">
        <f>'BCTC du phong'!E106</f>
        <v>63613225000</v>
      </c>
      <c r="E63" s="96">
        <f>'BCTC du phong'!F106</f>
        <v>48420914000</v>
      </c>
      <c r="F63" s="96">
        <f>'BCTC du phong'!G106</f>
        <v>13165437000</v>
      </c>
      <c r="G63" s="2">
        <f>G64*'BCTC du phong'!H$5</f>
        <v>31442741372.11562</v>
      </c>
      <c r="H63" s="2">
        <f>H64*'BCTC du phong'!I$5</f>
        <v>34344914893.157482</v>
      </c>
      <c r="I63" s="2">
        <f>I64*'BCTC du phong'!J$5</f>
        <v>39375450125.396523</v>
      </c>
      <c r="J63" s="2">
        <f>J64*'BCTC du phong'!K$5</f>
        <v>47288942523.033569</v>
      </c>
      <c r="K63" s="2">
        <f>K64*'BCTC du phong'!L$5</f>
        <v>59151500644.9776</v>
      </c>
    </row>
    <row r="64" spans="1:11" x14ac:dyDescent="0.25">
      <c r="A64" s="2" t="s">
        <v>31</v>
      </c>
      <c r="B64" s="56">
        <f>IFERROR(B63/'BCTC du phong'!C$5,0)</f>
        <v>1.1250035040656355E-2</v>
      </c>
      <c r="C64" s="56">
        <f>IFERROR(C63/'BCTC du phong'!D$5,0)</f>
        <v>1.8661936452692131E-2</v>
      </c>
      <c r="D64" s="56">
        <f>IFERROR(D63/'BCTC du phong'!E$5,0)</f>
        <v>4.7484937915766433E-2</v>
      </c>
      <c r="E64" s="56">
        <f>IFERROR(E63/'BCTC du phong'!F$5,0)</f>
        <v>3.4958715139594643E-2</v>
      </c>
      <c r="F64" s="56">
        <f>IFERROR(F63/'BCTC du phong'!G$5,0)</f>
        <v>8.9658974935621846E-3</v>
      </c>
      <c r="G64" s="56">
        <f>AVERAGE(E64:F64)</f>
        <v>2.1962306316578414E-2</v>
      </c>
      <c r="H64" s="56">
        <f>G64</f>
        <v>2.1962306316578414E-2</v>
      </c>
      <c r="I64" s="56">
        <f>H64</f>
        <v>2.1962306316578414E-2</v>
      </c>
      <c r="J64" s="56">
        <f>I64</f>
        <v>2.1962306316578414E-2</v>
      </c>
      <c r="K64" s="56">
        <f>J64</f>
        <v>2.1962306316578414E-2</v>
      </c>
    </row>
    <row r="66" spans="1:11" x14ac:dyDescent="0.25">
      <c r="A66" s="2" t="str">
        <f>'BCTC du phong'!B107</f>
        <v>5. Chi phí phải trả ngắn hạn</v>
      </c>
      <c r="B66" s="96">
        <f>'BCTC du phong'!C107</f>
        <v>15226837000</v>
      </c>
      <c r="C66" s="96">
        <f>'BCTC du phong'!D107</f>
        <v>30009383000</v>
      </c>
      <c r="D66" s="96">
        <f>'BCTC du phong'!E107</f>
        <v>48041909000</v>
      </c>
      <c r="E66" s="96">
        <f>'BCTC du phong'!F107</f>
        <v>23221729000</v>
      </c>
      <c r="F66" s="96">
        <f>'BCTC du phong'!G107</f>
        <v>17199979000</v>
      </c>
      <c r="G66" s="2">
        <f>G67*'BCTC du phong'!H$5</f>
        <v>20386252216.794456</v>
      </c>
      <c r="H66" s="2">
        <f>H67*'BCTC du phong'!I$5</f>
        <v>22267908802.544022</v>
      </c>
      <c r="I66" s="2">
        <f>I67*'BCTC du phong'!J$5</f>
        <v>25529512452.690239</v>
      </c>
      <c r="J66" s="2">
        <f>J67*'BCTC du phong'!K$5</f>
        <v>30660313549.982079</v>
      </c>
      <c r="K66" s="2">
        <f>K67*'BCTC du phong'!L$5</f>
        <v>38351535474.569084</v>
      </c>
    </row>
    <row r="67" spans="1:11" x14ac:dyDescent="0.25">
      <c r="A67" s="2" t="s">
        <v>31</v>
      </c>
      <c r="B67" s="56">
        <f>IFERROR(B66/'BCTC du phong'!C$5,0)</f>
        <v>1.2339105892819341E-2</v>
      </c>
      <c r="C67" s="56">
        <f>IFERROR(C66/'BCTC du phong'!D$5,0)</f>
        <v>2.3275822954407093E-2</v>
      </c>
      <c r="D67" s="56">
        <f>IFERROR(D66/'BCTC du phong'!E$5,0)</f>
        <v>3.5861521974713602E-2</v>
      </c>
      <c r="E67" s="56">
        <f>IFERROR(E66/'BCTC du phong'!F$5,0)</f>
        <v>1.6765520146105956E-2</v>
      </c>
      <c r="F67" s="56">
        <f>IFERROR(F66/'BCTC du phong'!G$5,0)</f>
        <v>1.1713492579503606E-2</v>
      </c>
      <c r="G67" s="56">
        <f>AVERAGE(E67:F67)</f>
        <v>1.4239506362804782E-2</v>
      </c>
      <c r="H67" s="56">
        <f>G67</f>
        <v>1.4239506362804782E-2</v>
      </c>
      <c r="I67" s="56">
        <f>H67</f>
        <v>1.4239506362804782E-2</v>
      </c>
      <c r="J67" s="56">
        <f>I67</f>
        <v>1.4239506362804782E-2</v>
      </c>
      <c r="K67" s="56">
        <f>J67</f>
        <v>1.4239506362804782E-2</v>
      </c>
    </row>
    <row r="69" spans="1:11" x14ac:dyDescent="0.25">
      <c r="A69" s="2" t="str">
        <f>'BCTC du phong'!B108</f>
        <v>6. Phải trả nội bộ ngắn hạn</v>
      </c>
      <c r="B69" s="96">
        <f>'BCTC du phong'!C108</f>
        <v>0</v>
      </c>
      <c r="C69" s="96">
        <f>'BCTC du phong'!D108</f>
        <v>0</v>
      </c>
      <c r="D69" s="96">
        <f>'BCTC du phong'!E108</f>
        <v>0</v>
      </c>
      <c r="E69" s="96">
        <f>'BCTC du phong'!F108</f>
        <v>0</v>
      </c>
      <c r="F69" s="96">
        <f>'BCTC du phong'!G108</f>
        <v>0</v>
      </c>
      <c r="G69" s="2">
        <f>G70*'BCTC du phong'!H$5</f>
        <v>0</v>
      </c>
      <c r="H69" s="2">
        <f>H70*'BCTC du phong'!I$5</f>
        <v>0</v>
      </c>
      <c r="I69" s="2">
        <f>I70*'BCTC du phong'!J$5</f>
        <v>0</v>
      </c>
      <c r="J69" s="2">
        <f>J70*'BCTC du phong'!K$5</f>
        <v>0</v>
      </c>
      <c r="K69" s="2">
        <f>K70*'BCTC du phong'!L$5</f>
        <v>0</v>
      </c>
    </row>
    <row r="70" spans="1:11" x14ac:dyDescent="0.25">
      <c r="A70" s="2" t="s">
        <v>31</v>
      </c>
      <c r="B70" s="56">
        <f>IFERROR(B69/'BCTC du phong'!C$5,0)</f>
        <v>0</v>
      </c>
      <c r="C70" s="56">
        <f>IFERROR(C69/'BCTC du phong'!D$5,0)</f>
        <v>0</v>
      </c>
      <c r="D70" s="56">
        <f>IFERROR(D69/'BCTC du phong'!E$5,0)</f>
        <v>0</v>
      </c>
      <c r="E70" s="56">
        <f>IFERROR(E69/'BCTC du phong'!F$5,0)</f>
        <v>0</v>
      </c>
      <c r="F70" s="56">
        <f>IFERROR(F69/'BCTC du phong'!G$5,0)</f>
        <v>0</v>
      </c>
      <c r="G70" s="56">
        <f>AVERAGE(E70:F70)</f>
        <v>0</v>
      </c>
      <c r="H70" s="56">
        <f>G70</f>
        <v>0</v>
      </c>
      <c r="I70" s="56">
        <f>H70</f>
        <v>0</v>
      </c>
      <c r="J70" s="56">
        <f>I70</f>
        <v>0</v>
      </c>
      <c r="K70" s="56">
        <f>J70</f>
        <v>0</v>
      </c>
    </row>
    <row r="72" spans="1:11" x14ac:dyDescent="0.25">
      <c r="A72" s="2" t="str">
        <f>'BCTC du phong'!B109</f>
        <v>7. Phải trả theo tiến độ kế hoạch hợp đồng xây dựng</v>
      </c>
      <c r="B72" s="96">
        <f>'BCTC du phong'!C109</f>
        <v>0</v>
      </c>
      <c r="C72" s="96">
        <f>'BCTC du phong'!D109</f>
        <v>0</v>
      </c>
      <c r="D72" s="96">
        <f>'BCTC du phong'!E109</f>
        <v>0</v>
      </c>
      <c r="E72" s="96">
        <f>'BCTC du phong'!F109</f>
        <v>0</v>
      </c>
      <c r="F72" s="96">
        <f>'BCTC du phong'!G109</f>
        <v>0</v>
      </c>
      <c r="G72" s="2">
        <f>G73*'BCTC du phong'!H$5</f>
        <v>0</v>
      </c>
      <c r="H72" s="2">
        <f>H73*'BCTC du phong'!I$5</f>
        <v>0</v>
      </c>
      <c r="I72" s="2">
        <f>I73*'BCTC du phong'!J$5</f>
        <v>0</v>
      </c>
      <c r="J72" s="2">
        <f>J73*'BCTC du phong'!K$5</f>
        <v>0</v>
      </c>
      <c r="K72" s="2">
        <f>K73*'BCTC du phong'!L$5</f>
        <v>0</v>
      </c>
    </row>
    <row r="73" spans="1:11" x14ac:dyDescent="0.25">
      <c r="A73" s="2" t="s">
        <v>31</v>
      </c>
      <c r="B73" s="56">
        <f>IFERROR(B72/'BCTC du phong'!C$5,0)</f>
        <v>0</v>
      </c>
      <c r="C73" s="56">
        <f>IFERROR(C72/'BCTC du phong'!D$5,0)</f>
        <v>0</v>
      </c>
      <c r="D73" s="56">
        <f>IFERROR(D72/'BCTC du phong'!E$5,0)</f>
        <v>0</v>
      </c>
      <c r="E73" s="56">
        <f>IFERROR(E72/'BCTC du phong'!F$5,0)</f>
        <v>0</v>
      </c>
      <c r="F73" s="56">
        <f>IFERROR(F72/'BCTC du phong'!G$5,0)</f>
        <v>0</v>
      </c>
      <c r="G73" s="56">
        <f>AVERAGE(E73:F73)</f>
        <v>0</v>
      </c>
      <c r="H73" s="56">
        <f>G73</f>
        <v>0</v>
      </c>
      <c r="I73" s="56">
        <f>H73</f>
        <v>0</v>
      </c>
      <c r="J73" s="56">
        <f>I73</f>
        <v>0</v>
      </c>
      <c r="K73" s="56">
        <f>J73</f>
        <v>0</v>
      </c>
    </row>
    <row r="75" spans="1:11" x14ac:dyDescent="0.25">
      <c r="A75" s="2" t="str">
        <f>'BCTC du phong'!B110</f>
        <v>8. Doanh thu chưa thực hiện ngắn hạn</v>
      </c>
      <c r="B75" s="96">
        <f>'BCTC du phong'!C110</f>
        <v>0</v>
      </c>
      <c r="C75" s="96">
        <f>'BCTC du phong'!D110</f>
        <v>0</v>
      </c>
      <c r="D75" s="96">
        <f>'BCTC du phong'!E110</f>
        <v>0</v>
      </c>
      <c r="E75" s="96">
        <f>'BCTC du phong'!F110</f>
        <v>0</v>
      </c>
      <c r="F75" s="96">
        <f>'BCTC du phong'!G110</f>
        <v>0</v>
      </c>
      <c r="G75" s="2">
        <f>G76*'BCTC du phong'!H$5</f>
        <v>0</v>
      </c>
      <c r="H75" s="2">
        <f>H76*'BCTC du phong'!I$5</f>
        <v>0</v>
      </c>
      <c r="I75" s="2">
        <f>I76*'BCTC du phong'!J$5</f>
        <v>0</v>
      </c>
      <c r="J75" s="2">
        <f>J76*'BCTC du phong'!K$5</f>
        <v>0</v>
      </c>
      <c r="K75" s="2">
        <f>K76*'BCTC du phong'!L$5</f>
        <v>0</v>
      </c>
    </row>
    <row r="76" spans="1:11" x14ac:dyDescent="0.25">
      <c r="A76" s="2" t="s">
        <v>31</v>
      </c>
      <c r="B76" s="56">
        <f>IFERROR(B75/'BCTC du phong'!C$5,0)</f>
        <v>0</v>
      </c>
      <c r="C76" s="56">
        <f>IFERROR(C75/'BCTC du phong'!D$5,0)</f>
        <v>0</v>
      </c>
      <c r="D76" s="56">
        <f>IFERROR(D75/'BCTC du phong'!E$5,0)</f>
        <v>0</v>
      </c>
      <c r="E76" s="56">
        <f>IFERROR(E75/'BCTC du phong'!F$5,0)</f>
        <v>0</v>
      </c>
      <c r="F76" s="56">
        <f>IFERROR(F75/'BCTC du phong'!G$5,0)</f>
        <v>0</v>
      </c>
      <c r="G76" s="56">
        <f>AVERAGE(E76:F76)</f>
        <v>0</v>
      </c>
      <c r="H76" s="56">
        <f>G76</f>
        <v>0</v>
      </c>
      <c r="I76" s="56">
        <f>H76</f>
        <v>0</v>
      </c>
      <c r="J76" s="56">
        <f>I76</f>
        <v>0</v>
      </c>
      <c r="K76" s="56">
        <f>J76</f>
        <v>0</v>
      </c>
    </row>
    <row r="78" spans="1:11" x14ac:dyDescent="0.25">
      <c r="A78" s="2" t="str">
        <f>'BCTC du phong'!B111</f>
        <v>9. Phải trả ngắn hạn khác</v>
      </c>
      <c r="B78" s="96">
        <f>'BCTC du phong'!C111</f>
        <v>1247324000</v>
      </c>
      <c r="C78" s="96">
        <f>'BCTC du phong'!D111</f>
        <v>2000492000</v>
      </c>
      <c r="D78" s="96">
        <f>'BCTC du phong'!E111</f>
        <v>53301931000</v>
      </c>
      <c r="E78" s="96">
        <f>'BCTC du phong'!F111</f>
        <v>1252579000</v>
      </c>
      <c r="F78" s="96">
        <f>'BCTC du phong'!G111</f>
        <v>2872091000</v>
      </c>
      <c r="G78" s="2">
        <f>G79*'BCTC du phong'!H$5</f>
        <v>2047483907.8116937</v>
      </c>
      <c r="H78" s="2">
        <f>H79*'BCTC du phong'!I$5</f>
        <v>2236467225.5093069</v>
      </c>
      <c r="I78" s="2">
        <f>I79*'BCTC du phong'!J$5</f>
        <v>2564044894.8286715</v>
      </c>
      <c r="J78" s="2">
        <f>J79*'BCTC du phong'!K$5</f>
        <v>3079354553.9642177</v>
      </c>
      <c r="K78" s="2">
        <f>K79*'BCTC du phong'!L$5</f>
        <v>3851818906.6335745</v>
      </c>
    </row>
    <row r="79" spans="1:11" x14ac:dyDescent="0.25">
      <c r="A79" s="2" t="s">
        <v>31</v>
      </c>
      <c r="B79" s="56">
        <f>IFERROR(B78/'BCTC du phong'!C$5,0)</f>
        <v>1.0107721596189013E-3</v>
      </c>
      <c r="C79" s="56">
        <f>IFERROR(C78/'BCTC du phong'!D$5,0)</f>
        <v>1.5516179594131526E-3</v>
      </c>
      <c r="D79" s="56">
        <f>IFERROR(D78/'BCTC du phong'!E$5,0)</f>
        <v>3.9787935359753675E-2</v>
      </c>
      <c r="E79" s="56">
        <f>IFERROR(E78/'BCTC du phong'!F$5,0)</f>
        <v>9.0433138975522687E-4</v>
      </c>
      <c r="F79" s="56">
        <f>IFERROR(F78/'BCTC du phong'!G$5,0)</f>
        <v>1.9559452145935232E-3</v>
      </c>
      <c r="G79" s="56">
        <f>AVERAGE(E79:F79)</f>
        <v>1.430138302174375E-3</v>
      </c>
      <c r="H79" s="56">
        <f>G79</f>
        <v>1.430138302174375E-3</v>
      </c>
      <c r="I79" s="56">
        <f>H79</f>
        <v>1.430138302174375E-3</v>
      </c>
      <c r="J79" s="56">
        <f>I79</f>
        <v>1.430138302174375E-3</v>
      </c>
      <c r="K79" s="56">
        <f>J79</f>
        <v>1.430138302174375E-3</v>
      </c>
    </row>
    <row r="80" spans="1:11" x14ac:dyDescent="0.25">
      <c r="B80" s="56"/>
      <c r="C80" s="56"/>
      <c r="D80" s="56"/>
      <c r="E80" s="56"/>
      <c r="F80" s="56"/>
      <c r="G80" s="56"/>
    </row>
    <row r="81" spans="1:11" x14ac:dyDescent="0.25">
      <c r="A81" s="2" t="str">
        <f>'BCTC du phong'!B113</f>
        <v>11. Dự phòng phải trả ngắn hạn</v>
      </c>
      <c r="B81" s="96">
        <f>'BCTC du phong'!C113</f>
        <v>0</v>
      </c>
      <c r="C81" s="96">
        <f>'BCTC du phong'!D113</f>
        <v>0</v>
      </c>
      <c r="D81" s="96">
        <f>'BCTC du phong'!E113</f>
        <v>0</v>
      </c>
      <c r="E81" s="96">
        <f>'BCTC du phong'!F113</f>
        <v>0</v>
      </c>
      <c r="F81" s="96">
        <f>'BCTC du phong'!G113</f>
        <v>0</v>
      </c>
      <c r="G81" s="2">
        <f>G82*G54</f>
        <v>0</v>
      </c>
      <c r="H81" s="2">
        <f>H82*H54</f>
        <v>0</v>
      </c>
      <c r="I81" s="2">
        <f>I82*I54</f>
        <v>0</v>
      </c>
      <c r="J81" s="2">
        <f>J82*J54</f>
        <v>0</v>
      </c>
      <c r="K81" s="2">
        <f>K82*K54</f>
        <v>0</v>
      </c>
    </row>
    <row r="82" spans="1:11" x14ac:dyDescent="0.25">
      <c r="A82" s="2" t="s">
        <v>55</v>
      </c>
      <c r="B82" s="62">
        <f>B81/B54</f>
        <v>0</v>
      </c>
      <c r="C82" s="62">
        <f>C81/C54</f>
        <v>0</v>
      </c>
      <c r="D82" s="62">
        <f>D81/D54</f>
        <v>0</v>
      </c>
      <c r="E82" s="62">
        <f>E81/E54</f>
        <v>0</v>
      </c>
      <c r="F82" s="62">
        <f>F81/F54</f>
        <v>0</v>
      </c>
      <c r="G82" s="62">
        <f>AVERAGE(E82:F82)</f>
        <v>0</v>
      </c>
      <c r="H82" s="62">
        <f>G82</f>
        <v>0</v>
      </c>
      <c r="I82" s="62">
        <f>H82</f>
        <v>0</v>
      </c>
      <c r="J82" s="62">
        <f>I82</f>
        <v>0</v>
      </c>
      <c r="K82" s="62">
        <f>J82</f>
        <v>0</v>
      </c>
    </row>
    <row r="84" spans="1:11" x14ac:dyDescent="0.25">
      <c r="A84" s="2" t="s">
        <v>56</v>
      </c>
      <c r="B84" s="96">
        <f>'BCTC du phong'!C114</f>
        <v>1583413000</v>
      </c>
      <c r="C84" s="96">
        <f>'BCTC du phong'!D114</f>
        <v>394478000</v>
      </c>
      <c r="D84" s="96">
        <f>'BCTC du phong'!E114</f>
        <v>2299415000</v>
      </c>
      <c r="E84" s="96">
        <f>'BCTC du phong'!F114</f>
        <v>2290805000</v>
      </c>
      <c r="F84" s="96">
        <f>'BCTC du phong'!G114</f>
        <v>6985902000</v>
      </c>
      <c r="G84" s="2">
        <f>F84+G85-G86</f>
        <v>6985902000</v>
      </c>
      <c r="H84" s="2">
        <f>G84+H85-H86</f>
        <v>5017369743.6187057</v>
      </c>
      <c r="I84" s="2">
        <f>H84+I85-I86</f>
        <v>5642499123.1667404</v>
      </c>
      <c r="J84" s="2">
        <f>I84+J85-J86</f>
        <v>6265374707.9420433</v>
      </c>
      <c r="K84" s="2">
        <f>J84+K85-K86</f>
        <v>7335609537.632616</v>
      </c>
    </row>
    <row r="85" spans="1:11" x14ac:dyDescent="0.25">
      <c r="A85" s="2" t="s">
        <v>57</v>
      </c>
      <c r="G85" s="2">
        <f>'Vốn CSH'!G35</f>
        <v>6985902000</v>
      </c>
      <c r="H85" s="2">
        <f>'Vốn CSH'!H35</f>
        <v>5017369743.6187048</v>
      </c>
      <c r="I85" s="2">
        <f>'Vốn CSH'!I35</f>
        <v>5642499123.1667395</v>
      </c>
      <c r="J85" s="2">
        <f>'Vốn CSH'!J35</f>
        <v>6265374707.9420424</v>
      </c>
      <c r="K85" s="2">
        <f>'Vốn CSH'!K35</f>
        <v>7335609537.632616</v>
      </c>
    </row>
    <row r="86" spans="1:11" x14ac:dyDescent="0.25">
      <c r="A86" s="2" t="s">
        <v>58</v>
      </c>
      <c r="G86" s="2">
        <f>F84</f>
        <v>6985902000</v>
      </c>
      <c r="H86" s="2">
        <f>G84</f>
        <v>6985902000</v>
      </c>
      <c r="I86" s="2">
        <f>H84</f>
        <v>5017369743.6187057</v>
      </c>
      <c r="J86" s="2">
        <f>I84</f>
        <v>5642499123.1667404</v>
      </c>
      <c r="K86" s="2">
        <f>J84</f>
        <v>6265374707.9420433</v>
      </c>
    </row>
    <row r="88" spans="1:11" x14ac:dyDescent="0.25">
      <c r="F88" s="2" t="s">
        <v>59</v>
      </c>
      <c r="G88" s="2">
        <f>G3+G28+G35-G52</f>
        <v>529280862852.5954</v>
      </c>
      <c r="H88" s="2">
        <f>H3+H28+H35-H52</f>
        <v>768929193828.32556</v>
      </c>
      <c r="I88" s="2">
        <f>I3+I28+I35-I52</f>
        <v>721930360982.65918</v>
      </c>
      <c r="J88" s="2">
        <f>J3+J28+J35-J52</f>
        <v>1071301943664.6456</v>
      </c>
      <c r="K88" s="2">
        <f>K3+K28+K35-K52</f>
        <v>1174649317962.3145</v>
      </c>
    </row>
    <row r="89" spans="1:11" x14ac:dyDescent="0.25">
      <c r="H89" s="2">
        <f>H88-G88</f>
        <v>239648330975.73016</v>
      </c>
      <c r="I89" s="2">
        <f>I88-H88</f>
        <v>-46998832845.666382</v>
      </c>
      <c r="J89" s="2">
        <f>J88-I88</f>
        <v>349371582681.98645</v>
      </c>
      <c r="K89" s="2">
        <f>K88-J88</f>
        <v>103347374297.66882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rang_tính3"/>
  <dimension ref="A1:L37"/>
  <sheetViews>
    <sheetView zoomScale="90" zoomScaleNormal="90" workbookViewId="0">
      <selection activeCell="E21" sqref="E21"/>
    </sheetView>
  </sheetViews>
  <sheetFormatPr defaultColWidth="20.5703125" defaultRowHeight="15" x14ac:dyDescent="0.25"/>
  <cols>
    <col min="1" max="6" width="20.5703125" style="2"/>
    <col min="7" max="11" width="23.42578125" style="2" bestFit="1" customWidth="1"/>
    <col min="12" max="16384" width="20.5703125" style="2"/>
  </cols>
  <sheetData>
    <row r="1" spans="1:11" x14ac:dyDescent="0.25">
      <c r="A1" s="2" t="s">
        <v>60</v>
      </c>
      <c r="B1" s="96">
        <f>'[1]Bảng Cân Đối Kế Toán'!C5</f>
        <v>2015</v>
      </c>
      <c r="C1" s="96">
        <f>'[1]Bảng Cân Đối Kế Toán'!D5</f>
        <v>2016</v>
      </c>
      <c r="D1" s="96">
        <f>'[1]Bảng Cân Đối Kế Toán'!E5</f>
        <v>2017</v>
      </c>
      <c r="E1" s="96">
        <f>'[1]Bảng Cân Đối Kế Toán'!F5</f>
        <v>2018</v>
      </c>
      <c r="F1" s="96">
        <f>'[1]Bảng Cân Đối Kế Toán'!G5</f>
        <v>2019</v>
      </c>
      <c r="G1" s="2">
        <f>F1+1</f>
        <v>2020</v>
      </c>
      <c r="H1" s="2">
        <f>G1+1</f>
        <v>2021</v>
      </c>
      <c r="I1" s="2">
        <f>H1+1</f>
        <v>2022</v>
      </c>
      <c r="J1" s="2">
        <f>I1+1</f>
        <v>2023</v>
      </c>
      <c r="K1" s="2">
        <f>J1+1</f>
        <v>2024</v>
      </c>
    </row>
    <row r="3" spans="1:11" x14ac:dyDescent="0.25">
      <c r="A3" s="2" t="str">
        <f>'BCTC du phong'!B70</f>
        <v>1. Tài sản cố định hữu hình</v>
      </c>
      <c r="B3" s="2">
        <f>'BCTC du phong'!C70</f>
        <v>191167289000</v>
      </c>
      <c r="C3" s="2">
        <f>'BCTC du phong'!D70</f>
        <v>169441402000</v>
      </c>
      <c r="D3" s="2">
        <f>'BCTC du phong'!E70</f>
        <v>152530989000</v>
      </c>
      <c r="E3" s="2">
        <f>'BCTC du phong'!F70</f>
        <v>137785852000</v>
      </c>
      <c r="F3" s="2">
        <f>'BCTC du phong'!G70</f>
        <v>152447776000</v>
      </c>
      <c r="G3" s="2">
        <f>G4+G5</f>
        <v>115653693885.75934</v>
      </c>
      <c r="H3" s="2">
        <f>H4+H5</f>
        <v>92850240937.895264</v>
      </c>
      <c r="I3" s="2">
        <f>I4+I5</f>
        <v>59703959753.736206</v>
      </c>
      <c r="J3" s="2">
        <f>J4+J5</f>
        <v>41050894747.126526</v>
      </c>
      <c r="K3" s="2">
        <f>K4+K5</f>
        <v>16435001268.870483</v>
      </c>
    </row>
    <row r="4" spans="1:11" x14ac:dyDescent="0.25">
      <c r="A4" s="2" t="str">
        <f>'BCTC du phong'!B71</f>
        <v xml:space="preserve">      - Nguyên giá</v>
      </c>
      <c r="B4" s="2">
        <f>'BCTC du phong'!C71</f>
        <v>423377171000</v>
      </c>
      <c r="C4" s="2">
        <f>'BCTC du phong'!D71</f>
        <v>429045147000</v>
      </c>
      <c r="D4" s="2">
        <f>'BCTC du phong'!E71</f>
        <v>439723581000</v>
      </c>
      <c r="E4" s="2">
        <f>'BCTC du phong'!F71</f>
        <v>452084455000</v>
      </c>
      <c r="F4" s="2">
        <f>'BCTC du phong'!G71</f>
        <v>485880443000</v>
      </c>
      <c r="G4" s="2">
        <f>F4+G9+G8</f>
        <v>500488089000</v>
      </c>
      <c r="H4" s="2">
        <f>G4+H9+H8</f>
        <v>527807605800.20752</v>
      </c>
      <c r="I4" s="2">
        <f>H4+I9+I8</f>
        <v>542830059283.46588</v>
      </c>
      <c r="J4" s="2">
        <f>I4+J9+J8</f>
        <v>571120291922.27051</v>
      </c>
      <c r="K4" s="2">
        <f>J4+K9+K8</f>
        <v>591804458458.55981</v>
      </c>
    </row>
    <row r="5" spans="1:11" x14ac:dyDescent="0.25">
      <c r="A5" s="2" t="str">
        <f>'BCTC du phong'!B72</f>
        <v xml:space="preserve">      - Giá trị hao mòn lũy kế (*)</v>
      </c>
      <c r="B5" s="2">
        <f>'BCTC du phong'!C72</f>
        <v>-232209881000</v>
      </c>
      <c r="C5" s="2">
        <f>'BCTC du phong'!D72</f>
        <v>-259603745000</v>
      </c>
      <c r="D5" s="2">
        <f>'BCTC du phong'!E72</f>
        <v>-287192591000</v>
      </c>
      <c r="E5" s="2">
        <f>'BCTC du phong'!F72</f>
        <v>-314298604000</v>
      </c>
      <c r="F5" s="2">
        <f>'BCTC du phong'!G72</f>
        <v>-333432667000</v>
      </c>
      <c r="G5" s="2">
        <f>F5+G10</f>
        <v>-384834395114.24066</v>
      </c>
      <c r="H5" s="2">
        <f>G5+H10</f>
        <v>-434957364862.31226</v>
      </c>
      <c r="I5" s="2">
        <f>H5+I10</f>
        <v>-483126099529.72968</v>
      </c>
      <c r="J5" s="2">
        <f>I5+J10</f>
        <v>-530069397175.14398</v>
      </c>
      <c r="K5" s="2">
        <f>J5+K10</f>
        <v>-575369457189.68933</v>
      </c>
    </row>
    <row r="7" spans="1:11" x14ac:dyDescent="0.25">
      <c r="A7" s="2" t="s">
        <v>61</v>
      </c>
      <c r="C7" s="2">
        <f t="shared" ref="C7:K7" si="0">B11</f>
        <v>191167289000</v>
      </c>
      <c r="D7" s="2">
        <f t="shared" si="0"/>
        <v>169441402000</v>
      </c>
      <c r="E7" s="2">
        <f t="shared" si="0"/>
        <v>152530989000</v>
      </c>
      <c r="F7" s="2">
        <f t="shared" si="0"/>
        <v>137785852000</v>
      </c>
      <c r="G7" s="2">
        <f t="shared" si="0"/>
        <v>152447776000</v>
      </c>
      <c r="H7" s="2">
        <f t="shared" si="0"/>
        <v>115653693885.75931</v>
      </c>
      <c r="I7" s="2">
        <f t="shared" si="0"/>
        <v>92850240937.895218</v>
      </c>
      <c r="J7" s="2">
        <f t="shared" si="0"/>
        <v>59703959753.736176</v>
      </c>
      <c r="K7" s="2">
        <f t="shared" si="0"/>
        <v>41050894747.126419</v>
      </c>
    </row>
    <row r="8" spans="1:11" x14ac:dyDescent="0.25">
      <c r="A8" s="2" t="s">
        <v>62</v>
      </c>
    </row>
    <row r="9" spans="1:11" x14ac:dyDescent="0.25">
      <c r="A9" s="2" t="s">
        <v>63</v>
      </c>
      <c r="G9" s="2">
        <f>-G31</f>
        <v>14607646000</v>
      </c>
      <c r="H9" s="2">
        <f>-H31</f>
        <v>27319516800.207489</v>
      </c>
      <c r="I9" s="2">
        <f>-I31</f>
        <v>15022453483.258385</v>
      </c>
      <c r="J9" s="2">
        <f>-J31</f>
        <v>28290232638.804573</v>
      </c>
      <c r="K9" s="2">
        <f>-K31</f>
        <v>20684166536.289276</v>
      </c>
    </row>
    <row r="10" spans="1:11" x14ac:dyDescent="0.25">
      <c r="A10" s="2" t="s">
        <v>64</v>
      </c>
      <c r="C10" s="2">
        <f>-('[1]Bảng Cân Đối Kế Toán'!C45-'[1]Bảng Cân Đối Kế Toán'!D45)</f>
        <v>-27393864000</v>
      </c>
      <c r="D10" s="2">
        <f>-('[1]Bảng Cân Đối Kế Toán'!D45-'[1]Bảng Cân Đối Kế Toán'!E45)</f>
        <v>-27588846000</v>
      </c>
      <c r="E10" s="2">
        <f>-('[1]Bảng Cân Đối Kế Toán'!E45-'[1]Bảng Cân Đối Kế Toán'!F45)</f>
        <v>-27106013000</v>
      </c>
      <c r="F10" s="2">
        <f>-('[1]Bảng Cân Đối Kế Toán'!F45-'[1]Bảng Cân Đối Kế Toán'!G45)</f>
        <v>-19134063000</v>
      </c>
      <c r="G10" s="2">
        <f>-SUM(G18:G23)</f>
        <v>-51401728114.240685</v>
      </c>
      <c r="H10" s="2">
        <f>-SUM(H18:H23)</f>
        <v>-50122969748.071579</v>
      </c>
      <c r="I10" s="2">
        <f>-SUM(I18:I23)</f>
        <v>-48168734667.417419</v>
      </c>
      <c r="J10" s="2">
        <f>-SUM(J18:J23)</f>
        <v>-46943297645.414322</v>
      </c>
      <c r="K10" s="2">
        <f>-SUM(K18:K23)</f>
        <v>-45300060014.54538</v>
      </c>
    </row>
    <row r="11" spans="1:11" x14ac:dyDescent="0.25">
      <c r="A11" s="2" t="s">
        <v>65</v>
      </c>
      <c r="B11" s="2">
        <f>B3</f>
        <v>191167289000</v>
      </c>
      <c r="C11" s="2">
        <f>C3</f>
        <v>169441402000</v>
      </c>
      <c r="D11" s="2">
        <f>D3</f>
        <v>152530989000</v>
      </c>
      <c r="E11" s="2">
        <f>E3</f>
        <v>137785852000</v>
      </c>
      <c r="F11" s="2">
        <f>F3</f>
        <v>152447776000</v>
      </c>
      <c r="G11" s="2">
        <f>SUM(G7:G10)</f>
        <v>115653693885.75931</v>
      </c>
      <c r="H11" s="2">
        <f>SUM(H7:H10)</f>
        <v>92850240937.895218</v>
      </c>
      <c r="I11" s="2">
        <f>SUM(I7:I10)</f>
        <v>59703959753.736176</v>
      </c>
      <c r="J11" s="2">
        <f>SUM(J7:J10)</f>
        <v>41050894747.126419</v>
      </c>
      <c r="K11" s="2">
        <f>SUM(K7:K10)</f>
        <v>16435001268.870316</v>
      </c>
    </row>
    <row r="14" spans="1:11" x14ac:dyDescent="0.25">
      <c r="A14" s="2" t="str">
        <f>'BCTC du phong'!B76</f>
        <v>3. Tài sản cố định vô hình</v>
      </c>
      <c r="B14" s="2">
        <f>'BCTC du phong'!C76</f>
        <v>51455930000</v>
      </c>
      <c r="C14" s="2">
        <f>'BCTC du phong'!D76</f>
        <v>49644233000</v>
      </c>
      <c r="D14" s="2">
        <f>'BCTC du phong'!E76</f>
        <v>48396831000</v>
      </c>
      <c r="E14" s="2">
        <f>'BCTC du phong'!F76</f>
        <v>47859915000</v>
      </c>
      <c r="F14" s="2">
        <f>'BCTC du phong'!G76</f>
        <v>48075551000</v>
      </c>
      <c r="G14" s="2">
        <f>F14</f>
        <v>48075551000</v>
      </c>
      <c r="H14" s="2">
        <f>G14</f>
        <v>48075551000</v>
      </c>
      <c r="I14" s="2">
        <f>H14</f>
        <v>48075551000</v>
      </c>
      <c r="J14" s="2">
        <f>I14</f>
        <v>48075551000</v>
      </c>
      <c r="K14" s="2">
        <f>J14</f>
        <v>48075551000</v>
      </c>
    </row>
    <row r="15" spans="1:11" x14ac:dyDescent="0.25">
      <c r="A15" s="2" t="str">
        <f>'BCTC du phong'!B77</f>
        <v xml:space="preserve">      - Nguyên giá</v>
      </c>
      <c r="B15" s="2">
        <f>'BCTC du phong'!C77</f>
        <v>57680854000</v>
      </c>
      <c r="C15" s="2">
        <f>'BCTC du phong'!D77</f>
        <v>57650854000</v>
      </c>
      <c r="D15" s="2">
        <f>'BCTC du phong'!E77</f>
        <v>57650854000</v>
      </c>
      <c r="E15" s="2">
        <f>'BCTC du phong'!F77</f>
        <v>58250854000</v>
      </c>
      <c r="F15" s="2">
        <f>'BCTC du phong'!G77</f>
        <v>59791814000</v>
      </c>
    </row>
    <row r="16" spans="1:11" x14ac:dyDescent="0.25">
      <c r="A16" s="2" t="str">
        <f>'BCTC du phong'!B78</f>
        <v xml:space="preserve">      - Giá trị hao mòn lũy kế (*)</v>
      </c>
      <c r="B16" s="2">
        <f>'BCTC du phong'!C78</f>
        <v>-6224924000</v>
      </c>
      <c r="C16" s="2">
        <f>'BCTC du phong'!D78</f>
        <v>-8006620000</v>
      </c>
      <c r="D16" s="2">
        <f>'BCTC du phong'!E78</f>
        <v>-9254023000</v>
      </c>
      <c r="E16" s="2">
        <f>'BCTC du phong'!F78</f>
        <v>-10390939000</v>
      </c>
      <c r="F16" s="2">
        <f>'BCTC du phong'!G78</f>
        <v>-11716262000</v>
      </c>
    </row>
    <row r="18" spans="1:12" x14ac:dyDescent="0.25">
      <c r="F18" s="2" t="s">
        <v>66</v>
      </c>
      <c r="G18" s="2">
        <f>IFERROR(SYD($F$4,0,$E$21,G1-$F$1),0)</f>
        <v>50599331275.896294</v>
      </c>
      <c r="H18" s="2">
        <f>IFERROR(SYD($F$4,0,$E$21,H1-$F$1),0)</f>
        <v>47819914014.681206</v>
      </c>
      <c r="I18" s="2">
        <f>IFERROR(SYD($F$4,0,$E$21,I1-$F$1),0)</f>
        <v>45040496753.466118</v>
      </c>
      <c r="J18" s="2">
        <f>IFERROR(SYD($F$4,0,$E$21,J1-$F$1),0)</f>
        <v>42261079492.251038</v>
      </c>
      <c r="K18" s="2">
        <f>IFERROR(SYD($F$4,0,$E$21,K1-$F$1),0)</f>
        <v>39481662231.035957</v>
      </c>
      <c r="L18" s="2" t="s">
        <v>67</v>
      </c>
    </row>
    <row r="19" spans="1:12" x14ac:dyDescent="0.25">
      <c r="A19" s="2" t="s">
        <v>68</v>
      </c>
      <c r="D19" s="2" t="s">
        <v>69</v>
      </c>
      <c r="E19" s="2">
        <f>AVERAGE(E4:F4)+AVERAGE(E15:F15)</f>
        <v>528003783000</v>
      </c>
      <c r="F19" s="2" t="s">
        <v>70</v>
      </c>
      <c r="G19" s="2">
        <f>SLN($G$8+$G$9,0,$E$21)</f>
        <v>802396838.34438741</v>
      </c>
      <c r="H19" s="2">
        <f>SLN($G$8+$G$9,0,$E$21)</f>
        <v>802396838.34438741</v>
      </c>
      <c r="I19" s="2">
        <f>SLN($G$8+$G$9,0,$E$21)</f>
        <v>802396838.34438741</v>
      </c>
      <c r="J19" s="2">
        <f>SLN($G$8+$G$9,0,$E$21)</f>
        <v>802396838.34438741</v>
      </c>
      <c r="K19" s="2">
        <f>SLN($G$8+$G$9,0,$E$21)</f>
        <v>802396838.34438741</v>
      </c>
    </row>
    <row r="20" spans="1:12" x14ac:dyDescent="0.25">
      <c r="D20" s="2" t="s">
        <v>64</v>
      </c>
      <c r="E20" s="2">
        <f>AVERAGE('BCTC du phong'!F290:G290)</f>
        <v>29003206000</v>
      </c>
      <c r="F20" s="2" t="s">
        <v>71</v>
      </c>
      <c r="H20" s="2">
        <f>SLN($H$8+$H$9,0,$E$21)</f>
        <v>1500658895.0459824</v>
      </c>
      <c r="I20" s="2">
        <f>SLN($H$8+$H$9,0,$E$21)</f>
        <v>1500658895.0459824</v>
      </c>
      <c r="J20" s="2">
        <f>SLN($H$8+$H$9,0,$E$21)</f>
        <v>1500658895.0459824</v>
      </c>
      <c r="K20" s="2">
        <f>SLN($H$8+$H$9,0,$E$21)</f>
        <v>1500658895.0459824</v>
      </c>
    </row>
    <row r="21" spans="1:12" x14ac:dyDescent="0.25">
      <c r="D21" s="2" t="s">
        <v>72</v>
      </c>
      <c r="E21" s="98">
        <f>MAX(E19/E20,5)</f>
        <v>18.205014404269651</v>
      </c>
      <c r="F21" s="2" t="s">
        <v>73</v>
      </c>
      <c r="I21" s="2">
        <f>SLN($I$8+$I$9,0,$E$21)</f>
        <v>825182180.56093073</v>
      </c>
      <c r="J21" s="2">
        <f>SLN($I$8+$I$9,0,$E$21)</f>
        <v>825182180.56093073</v>
      </c>
      <c r="K21" s="2">
        <f>SLN($I$8+$I$9,0,$E$21)</f>
        <v>825182180.56093073</v>
      </c>
    </row>
    <row r="22" spans="1:12" x14ac:dyDescent="0.25">
      <c r="F22" s="2" t="s">
        <v>74</v>
      </c>
      <c r="J22" s="2">
        <f>SLN($J$8+$J$9,0,$E$21)</f>
        <v>1553980239.2119844</v>
      </c>
      <c r="K22" s="2">
        <f>SLN($J$8+$J$9,0,$E$21)</f>
        <v>1553980239.2119844</v>
      </c>
    </row>
    <row r="23" spans="1:12" x14ac:dyDescent="0.25">
      <c r="F23" s="2" t="s">
        <v>75</v>
      </c>
      <c r="K23" s="2">
        <f>SLN($K$8+$K$9,0,$E$21)</f>
        <v>1136179630.3461416</v>
      </c>
    </row>
    <row r="25" spans="1:12" x14ac:dyDescent="0.25">
      <c r="A25" s="2" t="str">
        <f>'BCTC du phong'!B82</f>
        <v>IV. Tài sản dở dang dài hạn</v>
      </c>
      <c r="B25" s="2">
        <f>'BCTC du phong'!C82</f>
        <v>1869249000</v>
      </c>
      <c r="C25" s="2">
        <f>'BCTC du phong'!D82</f>
        <v>1379610000</v>
      </c>
      <c r="D25" s="2">
        <f>'BCTC du phong'!E82</f>
        <v>2464967000</v>
      </c>
      <c r="E25" s="2">
        <f>'BCTC du phong'!F82</f>
        <v>25264977000</v>
      </c>
      <c r="F25" s="2">
        <f>'BCTC du phong'!G82</f>
        <v>14607646000</v>
      </c>
      <c r="G25" s="2">
        <f>SUM(G26:G27)</f>
        <v>27319516800.207489</v>
      </c>
      <c r="H25" s="2">
        <f>SUM(H26:H27)</f>
        <v>15022453483.258385</v>
      </c>
      <c r="I25" s="2">
        <f>SUM(I26:I27)</f>
        <v>28290232638.804573</v>
      </c>
      <c r="J25" s="2">
        <f>SUM(J26:J27)</f>
        <v>20684166536.289276</v>
      </c>
      <c r="K25" s="2">
        <f>SUM(K26:K27)</f>
        <v>42498808492.388329</v>
      </c>
    </row>
    <row r="26" spans="1:12" x14ac:dyDescent="0.25">
      <c r="A26" s="2" t="str">
        <f>'BCTC du phong'!B83</f>
        <v>1. Chi phí sản xuất, kinh doanh dở dang dài hạn</v>
      </c>
      <c r="B26" s="2">
        <f>'BCTC du phong'!C83</f>
        <v>0</v>
      </c>
      <c r="C26" s="2">
        <f>'BCTC du phong'!D83</f>
        <v>0</v>
      </c>
      <c r="D26" s="2">
        <f>'BCTC du phong'!E83</f>
        <v>0</v>
      </c>
      <c r="E26" s="2">
        <f>'BCTC du phong'!F83</f>
        <v>0</v>
      </c>
      <c r="F26" s="2">
        <f>'BCTC du phong'!G83</f>
        <v>0</v>
      </c>
      <c r="G26" s="2">
        <v>0</v>
      </c>
      <c r="H26" s="2">
        <f>G26</f>
        <v>0</v>
      </c>
      <c r="I26" s="2">
        <f>H26</f>
        <v>0</v>
      </c>
      <c r="J26" s="2">
        <f>I26</f>
        <v>0</v>
      </c>
      <c r="K26" s="2">
        <f>J26</f>
        <v>0</v>
      </c>
    </row>
    <row r="27" spans="1:12" x14ac:dyDescent="0.25">
      <c r="A27" s="2" t="str">
        <f>'BCTC du phong'!B84</f>
        <v>2. Chi phí xây dựng cơ bản dở dang</v>
      </c>
      <c r="B27" s="2">
        <f>'BCTC du phong'!C84</f>
        <v>1869249000</v>
      </c>
      <c r="C27" s="2">
        <f>'BCTC du phong'!D84</f>
        <v>1379610000</v>
      </c>
      <c r="D27" s="2">
        <f>'BCTC du phong'!E84</f>
        <v>2464967000</v>
      </c>
      <c r="E27" s="2">
        <f>'BCTC du phong'!F84</f>
        <v>25264977000</v>
      </c>
      <c r="F27" s="2">
        <f>'BCTC du phong'!G84</f>
        <v>14607646000</v>
      </c>
      <c r="G27" s="2">
        <f>G32</f>
        <v>27319516800.207489</v>
      </c>
      <c r="H27" s="2">
        <f>H32</f>
        <v>15022453483.258385</v>
      </c>
      <c r="I27" s="2">
        <f>I32</f>
        <v>28290232638.804573</v>
      </c>
      <c r="J27" s="2">
        <f>J32</f>
        <v>20684166536.289276</v>
      </c>
      <c r="K27" s="2">
        <f>K32</f>
        <v>42498808492.388329</v>
      </c>
    </row>
    <row r="29" spans="1:12" x14ac:dyDescent="0.25">
      <c r="A29" s="2" t="s">
        <v>61</v>
      </c>
      <c r="C29" s="2">
        <f t="shared" ref="C29:K29" si="1">B32</f>
        <v>1869249000</v>
      </c>
      <c r="D29" s="2">
        <f t="shared" si="1"/>
        <v>1379610000</v>
      </c>
      <c r="E29" s="2">
        <f t="shared" si="1"/>
        <v>2464967000</v>
      </c>
      <c r="F29" s="2">
        <f t="shared" si="1"/>
        <v>25264977000</v>
      </c>
      <c r="G29" s="2">
        <f t="shared" si="1"/>
        <v>14607646000</v>
      </c>
      <c r="H29" s="2">
        <f t="shared" si="1"/>
        <v>27319516800.207489</v>
      </c>
      <c r="I29" s="2">
        <f t="shared" si="1"/>
        <v>15022453483.258385</v>
      </c>
      <c r="J29" s="2">
        <f t="shared" si="1"/>
        <v>28290232638.804573</v>
      </c>
      <c r="K29" s="2">
        <f t="shared" si="1"/>
        <v>20684166536.289276</v>
      </c>
    </row>
    <row r="30" spans="1:12" x14ac:dyDescent="0.25">
      <c r="A30" s="2" t="s">
        <v>62</v>
      </c>
      <c r="G30" s="2">
        <f>-G35</f>
        <v>27319516800.207493</v>
      </c>
      <c r="H30" s="2">
        <f>-H35</f>
        <v>15022453483.258385</v>
      </c>
      <c r="I30" s="2">
        <f>-I35</f>
        <v>28290232638.804573</v>
      </c>
      <c r="J30" s="2">
        <f>-J35</f>
        <v>20684166536.289276</v>
      </c>
      <c r="K30" s="2">
        <f>-K35</f>
        <v>42498808492.388329</v>
      </c>
    </row>
    <row r="31" spans="1:12" x14ac:dyDescent="0.25">
      <c r="A31" s="2" t="s">
        <v>76</v>
      </c>
      <c r="G31" s="2">
        <f>-G29</f>
        <v>-14607646000</v>
      </c>
      <c r="H31" s="2">
        <f>-H29</f>
        <v>-27319516800.207489</v>
      </c>
      <c r="I31" s="2">
        <f>-I29</f>
        <v>-15022453483.258385</v>
      </c>
      <c r="J31" s="2">
        <f>-J29</f>
        <v>-28290232638.804573</v>
      </c>
      <c r="K31" s="2">
        <f>-K29</f>
        <v>-20684166536.289276</v>
      </c>
    </row>
    <row r="32" spans="1:12" x14ac:dyDescent="0.25">
      <c r="A32" s="2" t="s">
        <v>65</v>
      </c>
      <c r="B32" s="2">
        <f>B25</f>
        <v>1869249000</v>
      </c>
      <c r="C32" s="2">
        <f>C25</f>
        <v>1379610000</v>
      </c>
      <c r="D32" s="2">
        <f>D25</f>
        <v>2464967000</v>
      </c>
      <c r="E32" s="2">
        <f>E25</f>
        <v>25264977000</v>
      </c>
      <c r="F32" s="2">
        <f>F25</f>
        <v>14607646000</v>
      </c>
      <c r="G32" s="2">
        <f>SUM(G29:G31)</f>
        <v>27319516800.207489</v>
      </c>
      <c r="H32" s="2">
        <f>SUM(H29:H31)</f>
        <v>15022453483.258385</v>
      </c>
      <c r="I32" s="2">
        <f>SUM(I29:I31)</f>
        <v>28290232638.804573</v>
      </c>
      <c r="J32" s="2">
        <f>SUM(J29:J31)</f>
        <v>20684166536.289276</v>
      </c>
      <c r="K32" s="2">
        <f>SUM(K29:K31)</f>
        <v>42498808492.388329</v>
      </c>
    </row>
    <row r="34" spans="1:12" x14ac:dyDescent="0.25">
      <c r="A34" s="2" t="s">
        <v>77</v>
      </c>
    </row>
    <row r="35" spans="1:12" x14ac:dyDescent="0.25">
      <c r="A35" s="2" t="s">
        <v>78</v>
      </c>
      <c r="B35" s="2">
        <f>'BCTC du phong'!C296</f>
        <v>-15250990000</v>
      </c>
      <c r="C35" s="2">
        <f>'BCTC du phong'!D296</f>
        <v>-12385353000</v>
      </c>
      <c r="D35" s="2">
        <f>'BCTC du phong'!E296</f>
        <v>-16714009000</v>
      </c>
      <c r="E35" s="2">
        <f>'BCTC du phong'!F296</f>
        <v>-41930046000</v>
      </c>
      <c r="F35" s="2">
        <f>'BCTC du phong'!G296</f>
        <v>-35203196000</v>
      </c>
      <c r="G35" s="2">
        <f>IF('Doanh thu'!G6*TSCĐ!G36&gt;('BCTC du phong'!H293+'BCTC du phong'!H318),-MIN($B$36:$F$36)*'Doanh thu'!G6,-'Doanh thu'!G6*TSCĐ!G36)</f>
        <v>-27319516800.207493</v>
      </c>
      <c r="H35" s="2">
        <f>IF('Doanh thu'!H6*TSCĐ!H36&gt;('BCTC du phong'!I293+'BCTC du phong'!I318),-MIN($B$36:$F$36)*'Doanh thu'!H6,-'Doanh thu'!H6*TSCĐ!H36)</f>
        <v>-15022453483.258385</v>
      </c>
      <c r="I35" s="2">
        <f>IF('Doanh thu'!I6*TSCĐ!I36&gt;('BCTC du phong'!J293+'BCTC du phong'!J318),-MIN($B$36:$F$36)*'Doanh thu'!I6,-'Doanh thu'!I6*TSCĐ!I36)</f>
        <v>-28290232638.804573</v>
      </c>
      <c r="J35" s="2">
        <f>IF('Doanh thu'!J6*TSCĐ!J36&gt;('BCTC du phong'!K293+'BCTC du phong'!K318),-MIN($B$36:$F$36)*'Doanh thu'!J6,-'Doanh thu'!J6*TSCĐ!J36)</f>
        <v>-20684166536.289276</v>
      </c>
      <c r="K35" s="2">
        <f>IF('Doanh thu'!K6*TSCĐ!K36&gt;('BCTC du phong'!L293+'BCTC du phong'!L318),-MIN($B$36:$F$36)*'Doanh thu'!K6,-'Doanh thu'!K6*TSCĐ!K36)</f>
        <v>-42498808492.388329</v>
      </c>
    </row>
    <row r="36" spans="1:12" x14ac:dyDescent="0.25">
      <c r="A36" s="2" t="s">
        <v>79</v>
      </c>
      <c r="B36" s="103">
        <f>-B35/'[1]BC Kết Quả Kinh Doanh'!C8</f>
        <v>1.2358678347500788E-2</v>
      </c>
      <c r="C36" s="103">
        <f>-C35/'[1]BC Kết Quả Kinh Doanh'!D8</f>
        <v>9.6063049232246699E-3</v>
      </c>
      <c r="D36" s="103">
        <f>-D35/'[1]BC Kết Quả Kinh Doanh'!E8</f>
        <v>1.2476394329772801E-2</v>
      </c>
      <c r="E36" s="103">
        <f>-E35/'[1]BC Kết Quả Kinh Doanh'!F8</f>
        <v>3.0272467262887681E-2</v>
      </c>
      <c r="F36" s="103">
        <f>-F35/'[1]BC Kết Quả Kinh Doanh'!G8</f>
        <v>2.3974004568308546E-2</v>
      </c>
      <c r="G36" s="57">
        <f>AVERAGEIFS(C36:F36,C36:F36,$G$37,C36:F36,H37)</f>
        <v>1.9082292771048424E-2</v>
      </c>
      <c r="H36" s="56">
        <f>AVERAGEIFS(D36:G36,D36:G36,$G$37,D36:G36,I37)</f>
        <v>1.5779343550410614E-2</v>
      </c>
      <c r="I36" s="56">
        <f>AVERAGEIFS(E36:H36,E36:H36,$G$37,E36:H36,J37)</f>
        <v>1.5779343550410614E-2</v>
      </c>
      <c r="J36" s="56">
        <f>AVERAGEIFS(F36:I36,F36:I36,$G$37,F36:I36,K37)</f>
        <v>1.5779343550410614E-2</v>
      </c>
      <c r="K36" s="56">
        <f>AVERAGEIFS(G36:J36,G36:J36,$G$37,G36:J36,L37)</f>
        <v>1.5779343550410614E-2</v>
      </c>
    </row>
    <row r="37" spans="1:12" x14ac:dyDescent="0.25">
      <c r="G37" s="2" t="str">
        <f>"&gt;="&amp;MIN(C36:F36)</f>
        <v>&gt;=0,00960630492322467</v>
      </c>
      <c r="H37" s="99" t="str">
        <f>"&lt;"&amp;MIN(C36:F36)*10</f>
        <v>&lt;0,0960630492322467</v>
      </c>
      <c r="I37" s="2" t="str">
        <f>"&lt;="&amp;G36</f>
        <v>&lt;=0,0190822927710484</v>
      </c>
      <c r="J37" s="2" t="str">
        <f>"&lt;="&amp;H36</f>
        <v>&lt;=0,0157793435504106</v>
      </c>
      <c r="K37" s="2" t="str">
        <f>"&lt;="&amp;I36</f>
        <v>&lt;=0,0157793435504106</v>
      </c>
      <c r="L37" s="2" t="str">
        <f>"&lt;="&amp;J36</f>
        <v>&lt;=0,0157793435504106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rang_tính4"/>
  <dimension ref="A1:K47"/>
  <sheetViews>
    <sheetView topLeftCell="C25" workbookViewId="0">
      <selection activeCell="G35" sqref="G35"/>
    </sheetView>
  </sheetViews>
  <sheetFormatPr defaultColWidth="20.5703125" defaultRowHeight="15" x14ac:dyDescent="0.25"/>
  <cols>
    <col min="1" max="1" width="45.85546875" style="2" customWidth="1"/>
    <col min="2" max="6" width="20.5703125" style="2"/>
    <col min="7" max="7" width="20.7109375" style="2" bestFit="1" customWidth="1"/>
    <col min="8" max="8" width="21.7109375" style="2" bestFit="1" customWidth="1"/>
    <col min="9" max="9" width="20.7109375" style="2" bestFit="1" customWidth="1"/>
    <col min="10" max="10" width="21.7109375" style="2" bestFit="1" customWidth="1"/>
    <col min="11" max="11" width="22.42578125" style="2" bestFit="1" customWidth="1"/>
    <col min="12" max="16384" width="20.5703125" style="2"/>
  </cols>
  <sheetData>
    <row r="1" spans="1:11" x14ac:dyDescent="0.25">
      <c r="A1" s="2" t="s">
        <v>80</v>
      </c>
      <c r="B1" s="96">
        <f>'[1]Bảng Cân Đối Kế Toán'!C5</f>
        <v>2015</v>
      </c>
      <c r="C1" s="96">
        <f>'[1]Bảng Cân Đối Kế Toán'!D5</f>
        <v>2016</v>
      </c>
      <c r="D1" s="96">
        <f>'[1]Bảng Cân Đối Kế Toán'!E5</f>
        <v>2017</v>
      </c>
      <c r="E1" s="96">
        <f>'[1]Bảng Cân Đối Kế Toán'!F5</f>
        <v>2018</v>
      </c>
      <c r="F1" s="96">
        <f>'[1]Bảng Cân Đối Kế Toán'!G5</f>
        <v>2019</v>
      </c>
      <c r="G1" s="2">
        <f>F1+1</f>
        <v>2020</v>
      </c>
      <c r="H1" s="2">
        <f>G1+1</f>
        <v>2021</v>
      </c>
      <c r="I1" s="2">
        <f>H1+1</f>
        <v>2022</v>
      </c>
      <c r="J1" s="2">
        <f>I1+1</f>
        <v>2023</v>
      </c>
      <c r="K1" s="2">
        <f>J1+1</f>
        <v>2024</v>
      </c>
    </row>
    <row r="3" spans="1:11" x14ac:dyDescent="0.25">
      <c r="A3" s="2" t="str">
        <f>'BCTC du phong'!B133</f>
        <v>I. Vốn chủ sở hữu</v>
      </c>
      <c r="B3" s="2">
        <f>'BCTC du phong'!C133</f>
        <v>793318496000</v>
      </c>
      <c r="C3" s="2">
        <f>'BCTC du phong'!D133</f>
        <v>883633401000</v>
      </c>
      <c r="D3" s="2">
        <f>'BCTC du phong'!E133</f>
        <v>952805914000</v>
      </c>
      <c r="E3" s="2">
        <f>'BCTC du phong'!F133</f>
        <v>1129539832000</v>
      </c>
      <c r="F3" s="2">
        <f>'BCTC du phong'!G133</f>
        <v>1252268690000</v>
      </c>
      <c r="G3" s="2">
        <f>G4+G9+G15+G18+G19+G20+G21+G22+G23+G24+G26+G41+G42+SUM(G43:G47)</f>
        <v>1389099058193.0059</v>
      </c>
      <c r="H3" s="2">
        <f>H4+H9+H15+H18+H19+H20+H21+H22+H23+H24+H26+H41+H42+SUM(H43:H47)</f>
        <v>1548366906330.3325</v>
      </c>
      <c r="I3" s="2">
        <f>I4+I9+I15+I18+I19+I20+I21+I22+I23+I24+I26+I41+I42+SUM(I43:I47)</f>
        <v>1723475696020.5227</v>
      </c>
      <c r="J3" s="2">
        <f>J4+J9+J15+J18+J19+J20+J21+J22+J23+J24+J26+J41+J42+SUM(J43:J47)</f>
        <v>1936824416964.5464</v>
      </c>
      <c r="K3" s="2">
        <f>K4+K9+K15+K18+K19+K20+K21+K22+K23+K24+K26+K41+K42+SUM(K43:K47)</f>
        <v>2193379677276.5815</v>
      </c>
    </row>
    <row r="4" spans="1:11" x14ac:dyDescent="0.25">
      <c r="A4" s="2" t="str">
        <f>'BCTC du phong'!B134</f>
        <v>1. Vốn góp của chủ sở hữu</v>
      </c>
      <c r="B4" s="2">
        <f>'BCTC du phong'!C134</f>
        <v>267137970000</v>
      </c>
      <c r="C4" s="2">
        <f>'BCTC du phong'!D134</f>
        <v>347274650000</v>
      </c>
      <c r="D4" s="2">
        <f>'BCTC du phong'!E134</f>
        <v>347274650000</v>
      </c>
      <c r="E4" s="2">
        <f>'BCTC du phong'!F134</f>
        <v>347274650000</v>
      </c>
      <c r="F4" s="2">
        <f>'BCTC du phong'!G134</f>
        <v>347274650000</v>
      </c>
      <c r="G4" s="2">
        <f>G5+G6</f>
        <v>347274650000</v>
      </c>
      <c r="H4" s="2">
        <f>H5+H6</f>
        <v>347274650000</v>
      </c>
      <c r="I4" s="2">
        <f>I5+I6</f>
        <v>347274650000</v>
      </c>
      <c r="J4" s="2">
        <f>J5+J6</f>
        <v>347274650000</v>
      </c>
      <c r="K4" s="2">
        <f>K5+K6</f>
        <v>347274650000</v>
      </c>
    </row>
    <row r="5" spans="1:11" x14ac:dyDescent="0.25">
      <c r="A5" s="2" t="str">
        <f>'BCTC du phong'!B135</f>
        <v>- Cổ phiếu phổ thông có quyền biểu quyết</v>
      </c>
      <c r="B5" s="2">
        <f>'BCTC du phong'!C135</f>
        <v>267137970000</v>
      </c>
      <c r="C5" s="2">
        <f>'BCTC du phong'!D135</f>
        <v>347274650000</v>
      </c>
      <c r="D5" s="2">
        <f>'BCTC du phong'!E135</f>
        <v>347274650000</v>
      </c>
      <c r="E5" s="2">
        <f>'BCTC du phong'!F135</f>
        <v>347274650000</v>
      </c>
      <c r="F5" s="2">
        <f>'BCTC du phong'!G135</f>
        <v>347274650000</v>
      </c>
      <c r="G5" s="2">
        <f>F5+G11*G12</f>
        <v>347274650000</v>
      </c>
      <c r="H5" s="2">
        <f t="shared" ref="H5:K6" si="0">G5</f>
        <v>347274650000</v>
      </c>
      <c r="I5" s="2">
        <f t="shared" si="0"/>
        <v>347274650000</v>
      </c>
      <c r="J5" s="2">
        <f t="shared" si="0"/>
        <v>347274650000</v>
      </c>
      <c r="K5" s="2">
        <f t="shared" si="0"/>
        <v>347274650000</v>
      </c>
    </row>
    <row r="6" spans="1:11" x14ac:dyDescent="0.25">
      <c r="A6" s="2" t="str">
        <f>'BCTC du phong'!B136</f>
        <v>- Cổ phiếu ưu đãi</v>
      </c>
      <c r="B6" s="2">
        <f>'BCTC du phong'!C136</f>
        <v>0</v>
      </c>
      <c r="C6" s="2">
        <f>'BCTC du phong'!D136</f>
        <v>0</v>
      </c>
      <c r="D6" s="2">
        <f>'BCTC du phong'!E136</f>
        <v>0</v>
      </c>
      <c r="E6" s="2">
        <f>'BCTC du phong'!F136</f>
        <v>0</v>
      </c>
      <c r="F6" s="2">
        <f>'BCTC du phong'!G136</f>
        <v>0</v>
      </c>
      <c r="G6" s="2">
        <f>F6</f>
        <v>0</v>
      </c>
      <c r="H6" s="2">
        <f t="shared" si="0"/>
        <v>0</v>
      </c>
      <c r="I6" s="2">
        <f t="shared" si="0"/>
        <v>0</v>
      </c>
      <c r="J6" s="2">
        <f t="shared" si="0"/>
        <v>0</v>
      </c>
      <c r="K6" s="2">
        <f t="shared" si="0"/>
        <v>0</v>
      </c>
    </row>
    <row r="7" spans="1:11" x14ac:dyDescent="0.25">
      <c r="B7" s="96"/>
      <c r="C7" s="96"/>
      <c r="D7" s="96"/>
      <c r="E7" s="96"/>
      <c r="F7" s="96"/>
    </row>
    <row r="8" spans="1:11" x14ac:dyDescent="0.25">
      <c r="B8" s="96"/>
      <c r="C8" s="96"/>
      <c r="D8" s="96"/>
      <c r="E8" s="96"/>
      <c r="F8" s="96"/>
    </row>
    <row r="9" spans="1:11" x14ac:dyDescent="0.25">
      <c r="A9" s="2" t="str">
        <f>'BCTC du phong'!B137</f>
        <v>2. Thặng dư vốn cổ phần</v>
      </c>
      <c r="B9" s="96">
        <f>'BCTC du phong'!C137</f>
        <v>140470630000</v>
      </c>
      <c r="C9" s="96">
        <f>'BCTC du phong'!D137</f>
        <v>60333950000</v>
      </c>
      <c r="D9" s="96">
        <f>'BCTC du phong'!E137</f>
        <v>60333950000</v>
      </c>
      <c r="E9" s="96">
        <f>'BCTC du phong'!F137</f>
        <v>60333950000</v>
      </c>
      <c r="F9" s="96">
        <f>'BCTC du phong'!G137</f>
        <v>60333950000</v>
      </c>
      <c r="G9" s="2">
        <f>F9+G14</f>
        <v>60333950000</v>
      </c>
      <c r="H9" s="2">
        <f>G9</f>
        <v>60333950000</v>
      </c>
      <c r="I9" s="2">
        <f>H9</f>
        <v>60333950000</v>
      </c>
      <c r="J9" s="2">
        <f>I9</f>
        <v>60333950000</v>
      </c>
      <c r="K9" s="2">
        <f>J9</f>
        <v>60333950000</v>
      </c>
    </row>
    <row r="10" spans="1:11" x14ac:dyDescent="0.25">
      <c r="B10" s="96"/>
      <c r="C10" s="96"/>
      <c r="D10" s="96"/>
      <c r="E10" s="96"/>
      <c r="F10" s="96"/>
    </row>
    <row r="11" spans="1:11" x14ac:dyDescent="0.25">
      <c r="B11" s="96"/>
      <c r="C11" s="96"/>
      <c r="D11" s="96"/>
      <c r="E11" s="96"/>
      <c r="F11" s="104" t="s">
        <v>81</v>
      </c>
      <c r="G11" s="2">
        <v>0</v>
      </c>
    </row>
    <row r="12" spans="1:11" x14ac:dyDescent="0.25">
      <c r="B12" s="96"/>
      <c r="C12" s="96"/>
      <c r="D12" s="96"/>
      <c r="E12" s="96"/>
      <c r="F12" s="104" t="s">
        <v>82</v>
      </c>
      <c r="G12" s="2">
        <v>10000</v>
      </c>
    </row>
    <row r="13" spans="1:11" x14ac:dyDescent="0.25">
      <c r="B13" s="96"/>
      <c r="C13" s="96"/>
      <c r="D13" s="96"/>
      <c r="E13" s="96"/>
      <c r="F13" s="104" t="s">
        <v>83</v>
      </c>
      <c r="G13" s="2">
        <v>0</v>
      </c>
    </row>
    <row r="14" spans="1:11" x14ac:dyDescent="0.25">
      <c r="B14" s="96"/>
      <c r="C14" s="96"/>
      <c r="D14" s="96"/>
      <c r="E14" s="96"/>
      <c r="F14" s="96" t="s">
        <v>84</v>
      </c>
      <c r="G14" s="2">
        <f>(G13-G12)*G11</f>
        <v>0</v>
      </c>
    </row>
    <row r="15" spans="1:11" x14ac:dyDescent="0.25">
      <c r="A15" s="2" t="str">
        <f>'BCTC du phong'!B138</f>
        <v>3. Quyền chọn chuyển đổi trái phiếu</v>
      </c>
      <c r="B15" s="2">
        <f>'BCTC du phong'!C138</f>
        <v>0</v>
      </c>
      <c r="C15" s="2">
        <f>'BCTC du phong'!D138</f>
        <v>0</v>
      </c>
      <c r="D15" s="2">
        <f>'BCTC du phong'!E138</f>
        <v>0</v>
      </c>
      <c r="E15" s="2">
        <f>'BCTC du phong'!F138</f>
        <v>0</v>
      </c>
      <c r="F15" s="2">
        <f>'BCTC du phong'!G138</f>
        <v>0</v>
      </c>
      <c r="G15" s="2">
        <f>F15</f>
        <v>0</v>
      </c>
      <c r="H15" s="2">
        <f>G15</f>
        <v>0</v>
      </c>
      <c r="I15" s="2">
        <f>H15</f>
        <v>0</v>
      </c>
      <c r="J15" s="2">
        <f>I15</f>
        <v>0</v>
      </c>
      <c r="K15" s="2">
        <f>J15</f>
        <v>0</v>
      </c>
    </row>
    <row r="16" spans="1:11" x14ac:dyDescent="0.25">
      <c r="B16" s="96"/>
      <c r="C16" s="96"/>
      <c r="D16" s="96"/>
      <c r="E16" s="96"/>
      <c r="F16" s="96"/>
    </row>
    <row r="17" spans="1:11" x14ac:dyDescent="0.25">
      <c r="B17" s="96"/>
      <c r="C17" s="96"/>
      <c r="D17" s="96"/>
      <c r="E17" s="96"/>
      <c r="F17" s="96"/>
    </row>
    <row r="18" spans="1:11" x14ac:dyDescent="0.25">
      <c r="A18" s="2" t="str">
        <f>'BCTC du phong'!B139</f>
        <v>4. Vốn khác của chủ sở hữu</v>
      </c>
      <c r="B18" s="96">
        <f>'BCTC du phong'!C139</f>
        <v>0</v>
      </c>
      <c r="C18" s="96">
        <f>'BCTC du phong'!D139</f>
        <v>0</v>
      </c>
      <c r="D18" s="96">
        <f>'BCTC du phong'!E139</f>
        <v>0</v>
      </c>
      <c r="E18" s="96">
        <f>'BCTC du phong'!F139</f>
        <v>0</v>
      </c>
      <c r="F18" s="96">
        <f>'BCTC du phong'!G139</f>
        <v>0</v>
      </c>
      <c r="G18" s="2">
        <f>F18</f>
        <v>0</v>
      </c>
      <c r="H18" s="2">
        <f>G18</f>
        <v>0</v>
      </c>
      <c r="I18" s="2">
        <f>H18</f>
        <v>0</v>
      </c>
      <c r="J18" s="2">
        <f>I18</f>
        <v>0</v>
      </c>
      <c r="K18" s="2">
        <f>J18</f>
        <v>0</v>
      </c>
    </row>
    <row r="19" spans="1:11" x14ac:dyDescent="0.25">
      <c r="A19" s="2" t="str">
        <f>'BCTC du phong'!B140</f>
        <v>5. Cổ phiếu quỹ (*)</v>
      </c>
      <c r="B19" s="96">
        <f>'BCTC du phong'!C140</f>
        <v>0</v>
      </c>
      <c r="C19" s="96">
        <f>'BCTC du phong'!D140</f>
        <v>0</v>
      </c>
      <c r="D19" s="96">
        <f>'BCTC du phong'!E140</f>
        <v>0</v>
      </c>
      <c r="E19" s="96">
        <f>'BCTC du phong'!F140</f>
        <v>0</v>
      </c>
      <c r="F19" s="96">
        <f>'BCTC du phong'!G140</f>
        <v>0</v>
      </c>
      <c r="G19" s="2">
        <f t="shared" ref="G19:K21" si="1">F19</f>
        <v>0</v>
      </c>
      <c r="H19" s="2">
        <f t="shared" si="1"/>
        <v>0</v>
      </c>
      <c r="I19" s="2">
        <f t="shared" si="1"/>
        <v>0</v>
      </c>
      <c r="J19" s="2">
        <f t="shared" si="1"/>
        <v>0</v>
      </c>
      <c r="K19" s="2">
        <f t="shared" si="1"/>
        <v>0</v>
      </c>
    </row>
    <row r="20" spans="1:11" x14ac:dyDescent="0.25">
      <c r="A20" s="2" t="str">
        <f>'BCTC du phong'!B141</f>
        <v>6. Chênh lệch đánh giá lại tài sản</v>
      </c>
      <c r="B20" s="96">
        <f>'BCTC du phong'!C141</f>
        <v>0</v>
      </c>
      <c r="C20" s="96">
        <f>'BCTC du phong'!D141</f>
        <v>0</v>
      </c>
      <c r="D20" s="96">
        <f>'BCTC du phong'!E141</f>
        <v>0</v>
      </c>
      <c r="E20" s="96">
        <f>'BCTC du phong'!F141</f>
        <v>0</v>
      </c>
      <c r="F20" s="96">
        <f>'BCTC du phong'!G141</f>
        <v>0</v>
      </c>
      <c r="G20" s="2">
        <f t="shared" si="1"/>
        <v>0</v>
      </c>
      <c r="H20" s="2">
        <f t="shared" si="1"/>
        <v>0</v>
      </c>
      <c r="I20" s="2">
        <f t="shared" si="1"/>
        <v>0</v>
      </c>
      <c r="J20" s="2">
        <f t="shared" si="1"/>
        <v>0</v>
      </c>
      <c r="K20" s="2">
        <f t="shared" si="1"/>
        <v>0</v>
      </c>
    </row>
    <row r="21" spans="1:11" x14ac:dyDescent="0.25">
      <c r="A21" s="2" t="str">
        <f>'BCTC du phong'!B142</f>
        <v>7. Chênh lệch tỷ giá hối đoái</v>
      </c>
      <c r="B21" s="96">
        <f>'BCTC du phong'!C142</f>
        <v>0</v>
      </c>
      <c r="C21" s="96">
        <f>'BCTC du phong'!D142</f>
        <v>0</v>
      </c>
      <c r="D21" s="96">
        <f>'BCTC du phong'!E142</f>
        <v>0</v>
      </c>
      <c r="E21" s="96">
        <f>'BCTC du phong'!F142</f>
        <v>0</v>
      </c>
      <c r="F21" s="96">
        <f>'BCTC du phong'!G142</f>
        <v>0</v>
      </c>
      <c r="G21" s="2">
        <f t="shared" si="1"/>
        <v>0</v>
      </c>
      <c r="H21" s="2">
        <f t="shared" si="1"/>
        <v>0</v>
      </c>
      <c r="I21" s="2">
        <f t="shared" si="1"/>
        <v>0</v>
      </c>
      <c r="J21" s="2">
        <f t="shared" si="1"/>
        <v>0</v>
      </c>
      <c r="K21" s="2">
        <f t="shared" si="1"/>
        <v>0</v>
      </c>
    </row>
    <row r="22" spans="1:11" x14ac:dyDescent="0.25">
      <c r="A22" s="2" t="str">
        <f>'BCTC du phong'!B143</f>
        <v>8. Quỹ đầu tư phát triển</v>
      </c>
      <c r="B22" s="96">
        <f>'BCTC du phong'!C143</f>
        <v>243133032000</v>
      </c>
      <c r="C22" s="96">
        <f>'BCTC du phong'!D143</f>
        <v>306365742000</v>
      </c>
      <c r="D22" s="96">
        <f>'BCTC du phong'!E143</f>
        <v>389626549000</v>
      </c>
      <c r="E22" s="96">
        <f>'BCTC du phong'!F143</f>
        <v>493159585000</v>
      </c>
      <c r="F22" s="96">
        <f>'BCTC du phong'!G143</f>
        <v>612025497000</v>
      </c>
      <c r="G22" s="2">
        <f>G31</f>
        <v>730891409000</v>
      </c>
      <c r="H22" s="2">
        <f>H31</f>
        <v>858936358259.56458</v>
      </c>
      <c r="I22" s="2">
        <f>I31</f>
        <v>1002934817779.4991</v>
      </c>
      <c r="J22" s="2">
        <f>J31</f>
        <v>1162829269965.5139</v>
      </c>
      <c r="K22" s="2">
        <f>K31</f>
        <v>1350036471951.9272</v>
      </c>
    </row>
    <row r="23" spans="1:11" x14ac:dyDescent="0.25">
      <c r="A23" s="2" t="str">
        <f>'BCTC du phong'!B144</f>
        <v>9. Quỹ hỗ trợ sắp xếp doanh nghiệp</v>
      </c>
      <c r="B23" s="96">
        <f>'BCTC du phong'!C144</f>
        <v>0</v>
      </c>
      <c r="C23" s="96">
        <f>'BCTC du phong'!D144</f>
        <v>0</v>
      </c>
      <c r="D23" s="96">
        <f>'BCTC du phong'!E144</f>
        <v>0</v>
      </c>
      <c r="E23" s="96">
        <f>'BCTC du phong'!F144</f>
        <v>0</v>
      </c>
      <c r="F23" s="96">
        <f>'BCTC du phong'!G144</f>
        <v>0</v>
      </c>
      <c r="G23" s="2">
        <f t="shared" ref="G23:K24" si="2">F23</f>
        <v>0</v>
      </c>
      <c r="H23" s="2">
        <f t="shared" si="2"/>
        <v>0</v>
      </c>
      <c r="I23" s="2">
        <f t="shared" si="2"/>
        <v>0</v>
      </c>
      <c r="J23" s="2">
        <f t="shared" si="2"/>
        <v>0</v>
      </c>
      <c r="K23" s="2">
        <f t="shared" si="2"/>
        <v>0</v>
      </c>
    </row>
    <row r="24" spans="1:11" x14ac:dyDescent="0.25">
      <c r="A24" s="2" t="str">
        <f>'BCTC du phong'!B145</f>
        <v>10. Quỹ khác thuộc vốn chủ sở hữu</v>
      </c>
      <c r="B24" s="96">
        <f>'BCTC du phong'!C145</f>
        <v>0</v>
      </c>
      <c r="C24" s="96">
        <f>'BCTC du phong'!D145</f>
        <v>0</v>
      </c>
      <c r="D24" s="96">
        <f>'BCTC du phong'!E145</f>
        <v>0</v>
      </c>
      <c r="E24" s="96">
        <f>'BCTC du phong'!F145</f>
        <v>0</v>
      </c>
      <c r="F24" s="96">
        <f>'BCTC du phong'!G145</f>
        <v>0</v>
      </c>
      <c r="G24" s="2">
        <f t="shared" si="2"/>
        <v>0</v>
      </c>
      <c r="H24" s="2">
        <f t="shared" si="2"/>
        <v>0</v>
      </c>
      <c r="I24" s="2">
        <f t="shared" si="2"/>
        <v>0</v>
      </c>
      <c r="J24" s="2">
        <f t="shared" si="2"/>
        <v>0</v>
      </c>
      <c r="K24" s="2">
        <f t="shared" si="2"/>
        <v>0</v>
      </c>
    </row>
    <row r="25" spans="1:11" x14ac:dyDescent="0.25">
      <c r="B25" s="96"/>
      <c r="C25" s="96"/>
      <c r="D25" s="96"/>
      <c r="E25" s="96"/>
      <c r="F25" s="96"/>
    </row>
    <row r="26" spans="1:11" x14ac:dyDescent="0.25">
      <c r="A26" s="2" t="str">
        <f>'BCTC du phong'!B146</f>
        <v>11. Lợi nhuận sau thuế chưa phân phối</v>
      </c>
      <c r="B26" s="96">
        <f>'BCTC du phong'!C146</f>
        <v>142576864000</v>
      </c>
      <c r="C26" s="96">
        <f>'BCTC du phong'!D146</f>
        <v>169659059000</v>
      </c>
      <c r="D26" s="96">
        <f>'BCTC du phong'!E146</f>
        <v>155570765000</v>
      </c>
      <c r="E26" s="96">
        <f>'BCTC du phong'!F146</f>
        <v>228771647000</v>
      </c>
      <c r="F26" s="96">
        <f>'BCTC du phong'!G146</f>
        <v>232634592000</v>
      </c>
      <c r="G26" s="2">
        <f>G27+G28</f>
        <v>250599049193.0058</v>
      </c>
      <c r="H26" s="2">
        <f>H27+H28</f>
        <v>281821948070.76813</v>
      </c>
      <c r="I26" s="2">
        <f>I27+I28</f>
        <v>312932278241.02368</v>
      </c>
      <c r="J26" s="2">
        <f>J27+J28</f>
        <v>366386546999.03253</v>
      </c>
      <c r="K26" s="2">
        <f>K27+K28</f>
        <v>435734605324.65424</v>
      </c>
    </row>
    <row r="27" spans="1:11" x14ac:dyDescent="0.25">
      <c r="A27" s="2" t="str">
        <f>'BCTC du phong'!B147</f>
        <v>- LNST chưa phân phối lũy kế đến cuối kỳ trước</v>
      </c>
      <c r="B27" s="96">
        <f>'BCTC du phong'!C147</f>
        <v>1017585000</v>
      </c>
      <c r="C27" s="96">
        <f>'BCTC du phong'!D147</f>
        <v>1017585000</v>
      </c>
      <c r="D27" s="96">
        <f>'BCTC du phong'!E147</f>
        <v>0</v>
      </c>
      <c r="E27" s="96">
        <f>'BCTC du phong'!F147</f>
        <v>0</v>
      </c>
      <c r="F27" s="96">
        <f>'BCTC du phong'!G147</f>
        <v>0</v>
      </c>
      <c r="G27" s="2">
        <f>F26</f>
        <v>232634592000</v>
      </c>
      <c r="H27" s="2">
        <f>G26</f>
        <v>250599049193.0058</v>
      </c>
      <c r="I27" s="2">
        <f>H26</f>
        <v>281821948070.76813</v>
      </c>
      <c r="J27" s="2">
        <f>I26</f>
        <v>312932278241.02368</v>
      </c>
      <c r="K27" s="2">
        <f>J26</f>
        <v>366386546999.03253</v>
      </c>
    </row>
    <row r="28" spans="1:11" x14ac:dyDescent="0.25">
      <c r="A28" s="2" t="str">
        <f>'BCTC du phong'!B148</f>
        <v>- LNST chưa phân phối kỳ này</v>
      </c>
      <c r="B28" s="96">
        <f>'BCTC du phong'!C148</f>
        <v>141559279000</v>
      </c>
      <c r="C28" s="96">
        <f>'BCTC du phong'!D148</f>
        <v>168641475000</v>
      </c>
      <c r="D28" s="96">
        <f>'BCTC du phong'!E148</f>
        <v>155570765000</v>
      </c>
      <c r="E28" s="96">
        <f>'BCTC du phong'!F148</f>
        <v>228771647000</v>
      </c>
      <c r="F28" s="96">
        <f>'BCTC du phong'!G148</f>
        <v>232634592000</v>
      </c>
      <c r="G28" s="2">
        <f>G30+G38-(G32)-(G35-F35)</f>
        <v>17964457193.005814</v>
      </c>
      <c r="H28" s="2">
        <f t="shared" ref="H28:K28" si="3">H30+H38-(H32)-(H35-G35)</f>
        <v>31222898877.762352</v>
      </c>
      <c r="I28" s="2">
        <f t="shared" si="3"/>
        <v>31110330170.255524</v>
      </c>
      <c r="J28" s="2">
        <f t="shared" si="3"/>
        <v>53454268758.00885</v>
      </c>
      <c r="K28" s="2">
        <f t="shared" si="3"/>
        <v>69348058325.621719</v>
      </c>
    </row>
    <row r="29" spans="1:11" x14ac:dyDescent="0.25">
      <c r="B29" s="96"/>
      <c r="C29" s="96"/>
      <c r="D29" s="96"/>
      <c r="E29" s="96"/>
      <c r="F29" s="96"/>
    </row>
    <row r="30" spans="1:11" x14ac:dyDescent="0.25">
      <c r="A30" s="2" t="s">
        <v>85</v>
      </c>
      <c r="B30" s="96">
        <f>'BCTC du phong'!C22</f>
        <v>141559279000</v>
      </c>
      <c r="C30" s="96">
        <f>'BCTC du phong'!D22</f>
        <v>168641475000</v>
      </c>
      <c r="D30" s="96">
        <f>'BCTC du phong'!E22</f>
        <v>207661963000</v>
      </c>
      <c r="E30" s="96">
        <f>'BCTC du phong'!F22</f>
        <v>228771647000</v>
      </c>
      <c r="F30" s="96">
        <f>'BCTC du phong'!G22</f>
        <v>232634592000</v>
      </c>
      <c r="G30" s="2">
        <f>'BCTC du phong'!H22</f>
        <v>219401907782.64047</v>
      </c>
      <c r="H30" s="2">
        <f>'BCTC du phong'!I22</f>
        <v>251587504706.5885</v>
      </c>
      <c r="I30" s="2">
        <f>'BCTC du phong'!J22</f>
        <v>281426711710.51685</v>
      </c>
      <c r="J30" s="2">
        <f>'BCTC du phong'!K22</f>
        <v>342445937725.8938</v>
      </c>
      <c r="K30" s="2">
        <f>'BCTC du phong'!L22</f>
        <v>412440803847.92621</v>
      </c>
    </row>
    <row r="31" spans="1:11" x14ac:dyDescent="0.25">
      <c r="A31" s="2" t="s">
        <v>86</v>
      </c>
      <c r="B31" s="96">
        <f>'Vốn CSH'!B22</f>
        <v>243133032000</v>
      </c>
      <c r="C31" s="96">
        <f>'Vốn CSH'!C22</f>
        <v>306365742000</v>
      </c>
      <c r="D31" s="96">
        <f>'Vốn CSH'!D22</f>
        <v>389626549000</v>
      </c>
      <c r="E31" s="96">
        <f>'Vốn CSH'!E22</f>
        <v>493159585000</v>
      </c>
      <c r="F31" s="96">
        <f>'Vốn CSH'!F22</f>
        <v>612025497000</v>
      </c>
      <c r="G31" s="147">
        <f>F31+G32</f>
        <v>730891409000</v>
      </c>
      <c r="H31" s="147">
        <f t="shared" ref="H31:K31" si="4">G31+H32</f>
        <v>858936358259.56458</v>
      </c>
      <c r="I31" s="147">
        <f t="shared" si="4"/>
        <v>1002934817779.4991</v>
      </c>
      <c r="J31" s="147">
        <f t="shared" si="4"/>
        <v>1162829269965.5139</v>
      </c>
      <c r="K31" s="147">
        <f t="shared" si="4"/>
        <v>1350036471951.9272</v>
      </c>
    </row>
    <row r="32" spans="1:11" x14ac:dyDescent="0.25">
      <c r="A32" s="2" t="s">
        <v>0</v>
      </c>
      <c r="B32" s="96"/>
      <c r="C32" s="96">
        <f>C31-B31</f>
        <v>63232710000</v>
      </c>
      <c r="D32" s="96">
        <f t="shared" ref="D32:F32" si="5">D31-C31</f>
        <v>83260807000</v>
      </c>
      <c r="E32" s="96">
        <f t="shared" si="5"/>
        <v>103533036000</v>
      </c>
      <c r="F32" s="96">
        <f t="shared" si="5"/>
        <v>118865912000</v>
      </c>
      <c r="G32" s="146">
        <f>G33*G27</f>
        <v>118865911999.99998</v>
      </c>
      <c r="H32" s="146">
        <f t="shared" ref="H32:K32" si="6">H33*H27</f>
        <v>128044949259.56453</v>
      </c>
      <c r="I32" s="146">
        <f t="shared" si="6"/>
        <v>143998459519.93454</v>
      </c>
      <c r="J32" s="146">
        <f t="shared" si="6"/>
        <v>159894452186.01468</v>
      </c>
      <c r="K32" s="146">
        <f t="shared" si="6"/>
        <v>187207201986.41336</v>
      </c>
    </row>
    <row r="33" spans="1:11" x14ac:dyDescent="0.25">
      <c r="B33" s="96"/>
      <c r="C33" s="103">
        <f>C32/C28</f>
        <v>0.37495349231261171</v>
      </c>
      <c r="D33" s="103">
        <f>D32/D28</f>
        <v>0.53519571623884477</v>
      </c>
      <c r="E33" s="103">
        <f t="shared" ref="E33:F33" si="7">E32/E28</f>
        <v>0.45256060948846516</v>
      </c>
      <c r="F33" s="103">
        <f t="shared" si="7"/>
        <v>0.51095544724492215</v>
      </c>
      <c r="G33" s="145">
        <f>F33</f>
        <v>0.51095544724492215</v>
      </c>
      <c r="H33" s="145">
        <f t="shared" ref="H33:K33" si="8">G33</f>
        <v>0.51095544724492215</v>
      </c>
      <c r="I33" s="145">
        <f t="shared" si="8"/>
        <v>0.51095544724492215</v>
      </c>
      <c r="J33" s="145">
        <f t="shared" si="8"/>
        <v>0.51095544724492215</v>
      </c>
      <c r="K33" s="145">
        <f t="shared" si="8"/>
        <v>0.51095544724492215</v>
      </c>
    </row>
    <row r="34" spans="1:11" s="56" customFormat="1" x14ac:dyDescent="0.25">
      <c r="A34" s="56" t="s">
        <v>87</v>
      </c>
      <c r="B34" s="145">
        <f>IFERROR(B31/B26,0)</f>
        <v>1.7052768954155142</v>
      </c>
      <c r="C34" s="145">
        <f t="shared" ref="C34:E34" si="9">IFERROR(C31/C26,0)</f>
        <v>1.8057729649437699</v>
      </c>
      <c r="D34" s="145">
        <f t="shared" si="9"/>
        <v>2.5044972234982583</v>
      </c>
      <c r="E34" s="145">
        <f t="shared" si="9"/>
        <v>2.1556849000610638</v>
      </c>
      <c r="F34" s="145">
        <f>IFERROR(F31/F26,0)</f>
        <v>2.6308447584613726</v>
      </c>
      <c r="G34" s="145">
        <f>IFERROR(G31/G26,0)</f>
        <v>2.9165769437420481</v>
      </c>
      <c r="H34" s="145">
        <f t="shared" ref="H34:K34" si="10">IFERROR(H31/H26,0)</f>
        <v>3.0477979594544484</v>
      </c>
      <c r="I34" s="145">
        <f t="shared" si="10"/>
        <v>3.2049580293121069</v>
      </c>
      <c r="J34" s="145">
        <f t="shared" si="10"/>
        <v>3.1737772019467312</v>
      </c>
      <c r="K34" s="145">
        <f t="shared" si="10"/>
        <v>3.0982998721114909</v>
      </c>
    </row>
    <row r="35" spans="1:11" x14ac:dyDescent="0.25">
      <c r="A35" s="2" t="s">
        <v>88</v>
      </c>
      <c r="B35" s="96">
        <f>'[1]Bảng Cân Đối Kế Toán'!C86</f>
        <v>1583413000</v>
      </c>
      <c r="C35" s="96">
        <f>'[1]Bảng Cân Đối Kế Toán'!D86</f>
        <v>394478000</v>
      </c>
      <c r="D35" s="96">
        <f>'[1]Bảng Cân Đối Kế Toán'!E86</f>
        <v>2299415000</v>
      </c>
      <c r="E35" s="96">
        <f>'[1]Bảng Cân Đối Kế Toán'!F86</f>
        <v>2290805000</v>
      </c>
      <c r="F35" s="96">
        <f>'[1]Bảng Cân Đối Kế Toán'!G86</f>
        <v>6985902000</v>
      </c>
      <c r="G35" s="105">
        <f>G36*G27</f>
        <v>6985902000</v>
      </c>
      <c r="H35" s="105">
        <f>H36*H27</f>
        <v>5017369743.6187048</v>
      </c>
      <c r="I35" s="105">
        <f>I36*I27</f>
        <v>5642499123.1667395</v>
      </c>
      <c r="J35" s="105">
        <f>J36*J27</f>
        <v>6265374707.9420424</v>
      </c>
      <c r="K35" s="105">
        <f>K36*K27</f>
        <v>7335609537.632616</v>
      </c>
    </row>
    <row r="36" spans="1:11" s="56" customFormat="1" x14ac:dyDescent="0.25">
      <c r="A36" s="56" t="s">
        <v>87</v>
      </c>
      <c r="B36" s="145">
        <f>IFERROR(B35/B26,0)</f>
        <v>1.1105679810715995E-2</v>
      </c>
      <c r="C36" s="145">
        <f t="shared" ref="C36:F36" si="11">IFERROR(C35/C26,0)</f>
        <v>2.3251219376384728E-3</v>
      </c>
      <c r="D36" s="145">
        <f t="shared" si="11"/>
        <v>1.4780508407219055E-2</v>
      </c>
      <c r="E36" s="145">
        <f t="shared" si="11"/>
        <v>1.0013500492917288E-2</v>
      </c>
      <c r="F36" s="145">
        <f t="shared" si="11"/>
        <v>3.0029506531857479E-2</v>
      </c>
      <c r="G36" s="57">
        <f>F36</f>
        <v>3.0029506531857479E-2</v>
      </c>
      <c r="H36" s="57">
        <f>AVERAGE($E$36:$F$36)</f>
        <v>2.0021503512387386E-2</v>
      </c>
      <c r="I36" s="57">
        <f>AVERAGE($E$36:$F$36)</f>
        <v>2.0021503512387386E-2</v>
      </c>
      <c r="J36" s="57">
        <f>AVERAGE($E$36:$F$36)</f>
        <v>2.0021503512387386E-2</v>
      </c>
      <c r="K36" s="57">
        <f>AVERAGE($E$36:$F$36)</f>
        <v>2.0021503512387386E-2</v>
      </c>
    </row>
    <row r="37" spans="1:11" x14ac:dyDescent="0.25">
      <c r="B37" s="96"/>
      <c r="C37" s="96"/>
      <c r="D37" s="96"/>
      <c r="E37" s="96"/>
      <c r="F37" s="96"/>
    </row>
    <row r="38" spans="1:11" s="143" customFormat="1" x14ac:dyDescent="0.25">
      <c r="A38" s="143" t="s">
        <v>89</v>
      </c>
      <c r="B38" s="144">
        <f>'BCTC du phong'!C315</f>
        <v>-48084835000</v>
      </c>
      <c r="C38" s="144">
        <f>'BCTC du phong'!D315</f>
        <v>-53427594000</v>
      </c>
      <c r="D38" s="144">
        <f>'BCTC du phong'!E315</f>
        <v>-69454915000</v>
      </c>
      <c r="E38" s="144">
        <f>'BCTC du phong'!F315</f>
        <v>-86818627000</v>
      </c>
      <c r="F38" s="144">
        <f>'BCTC du phong'!G315</f>
        <v>-86818663000</v>
      </c>
      <c r="G38" s="143">
        <f>-G39*G30</f>
        <v>-82571538589.634674</v>
      </c>
      <c r="H38" s="143">
        <f>-H39*H30</f>
        <v>-94288188825.642914</v>
      </c>
      <c r="I38" s="143">
        <f>-I39*I30</f>
        <v>-105692792640.77876</v>
      </c>
      <c r="J38" s="143">
        <f>-J39*J30</f>
        <v>-128474341197.09496</v>
      </c>
      <c r="K38" s="143">
        <f>-K39*K30</f>
        <v>-154815308706.20056</v>
      </c>
    </row>
    <row r="39" spans="1:11" x14ac:dyDescent="0.25">
      <c r="A39" s="2" t="s">
        <v>90</v>
      </c>
      <c r="B39" s="103">
        <f>-B38/B30</f>
        <v>0.33967985242422716</v>
      </c>
      <c r="C39" s="103">
        <f>-C38/C30</f>
        <v>0.31681170957500221</v>
      </c>
      <c r="D39" s="107">
        <f>-D38/D30</f>
        <v>0.33446141987976874</v>
      </c>
      <c r="E39" s="107">
        <f>-E38/E30</f>
        <v>0.37949906878101902</v>
      </c>
      <c r="F39" s="107">
        <f>-F38/F30</f>
        <v>0.37319756384295588</v>
      </c>
      <c r="G39" s="108">
        <f>AVERAGE(E39:F39)</f>
        <v>0.37634831631198745</v>
      </c>
      <c r="H39" s="108">
        <f>AVERAGE(F39:G39)</f>
        <v>0.37477294007747164</v>
      </c>
      <c r="I39" s="108">
        <f>AVERAGE(G39:H39)</f>
        <v>0.37556062819472957</v>
      </c>
      <c r="J39" s="108">
        <f>AVERAGE(H39:I39)</f>
        <v>0.37516678413610061</v>
      </c>
      <c r="K39" s="108">
        <f>AVERAGE(I39:J39)</f>
        <v>0.37536370616541509</v>
      </c>
    </row>
    <row r="40" spans="1:11" x14ac:dyDescent="0.25">
      <c r="B40" s="96"/>
      <c r="C40" s="96"/>
      <c r="D40" s="96"/>
      <c r="E40" s="96"/>
      <c r="F40" s="96"/>
    </row>
    <row r="41" spans="1:11" x14ac:dyDescent="0.25">
      <c r="A41" s="2" t="str">
        <f>'BCTC du phong'!B149</f>
        <v>12. Nguồn vốn đầu tư XDCB</v>
      </c>
      <c r="B41" s="96">
        <f>'BCTC du phong'!C149</f>
        <v>0</v>
      </c>
      <c r="C41" s="96">
        <f>'BCTC du phong'!D149</f>
        <v>0</v>
      </c>
      <c r="D41" s="96">
        <f>'BCTC du phong'!E149</f>
        <v>0</v>
      </c>
      <c r="E41" s="96">
        <f>'BCTC du phong'!F149</f>
        <v>0</v>
      </c>
      <c r="F41" s="96">
        <f>'BCTC du phong'!G149</f>
        <v>0</v>
      </c>
      <c r="G41" s="2">
        <f t="shared" ref="G41:K47" si="12">F41</f>
        <v>0</v>
      </c>
      <c r="H41" s="2">
        <f t="shared" si="12"/>
        <v>0</v>
      </c>
      <c r="I41" s="2">
        <f t="shared" si="12"/>
        <v>0</v>
      </c>
      <c r="J41" s="2">
        <f t="shared" si="12"/>
        <v>0</v>
      </c>
      <c r="K41" s="2">
        <f t="shared" si="12"/>
        <v>0</v>
      </c>
    </row>
    <row r="42" spans="1:11" x14ac:dyDescent="0.25">
      <c r="A42" s="2" t="str">
        <f>'BCTC du phong'!B150</f>
        <v>13. Lợi ích cổ đông không kiểm soát</v>
      </c>
      <c r="B42" s="96">
        <f>'BCTC du phong'!C150</f>
        <v>0</v>
      </c>
      <c r="C42" s="96">
        <f>'BCTC du phong'!D150</f>
        <v>0</v>
      </c>
      <c r="D42" s="96">
        <f>'BCTC du phong'!E150</f>
        <v>0</v>
      </c>
      <c r="E42" s="96">
        <f>'BCTC du phong'!F150</f>
        <v>0</v>
      </c>
      <c r="F42" s="96">
        <f>'BCTC du phong'!G150</f>
        <v>0</v>
      </c>
      <c r="G42" s="2">
        <f t="shared" si="12"/>
        <v>0</v>
      </c>
      <c r="H42" s="2">
        <f t="shared" si="12"/>
        <v>0</v>
      </c>
      <c r="I42" s="2">
        <f t="shared" si="12"/>
        <v>0</v>
      </c>
      <c r="J42" s="2">
        <f t="shared" si="12"/>
        <v>0</v>
      </c>
      <c r="K42" s="2">
        <f t="shared" si="12"/>
        <v>0</v>
      </c>
    </row>
    <row r="43" spans="1:11" x14ac:dyDescent="0.25">
      <c r="A43" s="2" t="str">
        <f>'BCTC du phong'!B151</f>
        <v>14. Quỹ dự phòng tài chính</v>
      </c>
      <c r="B43" s="96">
        <f>'BCTC du phong'!C151</f>
        <v>0</v>
      </c>
      <c r="C43" s="96">
        <f>'BCTC du phong'!D151</f>
        <v>0</v>
      </c>
      <c r="D43" s="96">
        <f>'BCTC du phong'!E151</f>
        <v>0</v>
      </c>
      <c r="E43" s="96">
        <f>'BCTC du phong'!F151</f>
        <v>0</v>
      </c>
      <c r="F43" s="96">
        <f>'BCTC du phong'!G151</f>
        <v>0</v>
      </c>
      <c r="G43" s="2">
        <f t="shared" si="12"/>
        <v>0</v>
      </c>
      <c r="H43" s="2">
        <f t="shared" si="12"/>
        <v>0</v>
      </c>
      <c r="I43" s="2">
        <f t="shared" si="12"/>
        <v>0</v>
      </c>
      <c r="J43" s="2">
        <f t="shared" si="12"/>
        <v>0</v>
      </c>
      <c r="K43" s="2">
        <f t="shared" si="12"/>
        <v>0</v>
      </c>
    </row>
    <row r="44" spans="1:11" x14ac:dyDescent="0.25">
      <c r="A44" s="2" t="str">
        <f>'BCTC du phong'!B152</f>
        <v>II. Nguồn kinh phí và quỹ khác</v>
      </c>
      <c r="B44" s="96">
        <f>'BCTC du phong'!C152</f>
        <v>0</v>
      </c>
      <c r="C44" s="96">
        <f>'BCTC du phong'!D152</f>
        <v>0</v>
      </c>
      <c r="D44" s="96">
        <f>'BCTC du phong'!E152</f>
        <v>0</v>
      </c>
      <c r="E44" s="96">
        <f>'BCTC du phong'!F152</f>
        <v>0</v>
      </c>
      <c r="F44" s="96">
        <f>'BCTC du phong'!G152</f>
        <v>0</v>
      </c>
      <c r="G44" s="2">
        <f t="shared" si="12"/>
        <v>0</v>
      </c>
      <c r="H44" s="2">
        <f t="shared" si="12"/>
        <v>0</v>
      </c>
      <c r="I44" s="2">
        <f t="shared" si="12"/>
        <v>0</v>
      </c>
      <c r="J44" s="2">
        <f t="shared" si="12"/>
        <v>0</v>
      </c>
      <c r="K44" s="2">
        <f t="shared" si="12"/>
        <v>0</v>
      </c>
    </row>
    <row r="45" spans="1:11" x14ac:dyDescent="0.25">
      <c r="A45" s="2" t="str">
        <f>'BCTC du phong'!B153</f>
        <v>1. Nguồn kinh phí</v>
      </c>
      <c r="B45" s="96">
        <f>'BCTC du phong'!C153</f>
        <v>0</v>
      </c>
      <c r="C45" s="96">
        <f>'BCTC du phong'!D153</f>
        <v>0</v>
      </c>
      <c r="D45" s="96">
        <f>'BCTC du phong'!E153</f>
        <v>0</v>
      </c>
      <c r="E45" s="96">
        <f>'BCTC du phong'!F153</f>
        <v>0</v>
      </c>
      <c r="F45" s="96">
        <f>'BCTC du phong'!G153</f>
        <v>0</v>
      </c>
      <c r="G45" s="2">
        <f t="shared" si="12"/>
        <v>0</v>
      </c>
      <c r="H45" s="2">
        <f t="shared" si="12"/>
        <v>0</v>
      </c>
      <c r="I45" s="2">
        <f t="shared" si="12"/>
        <v>0</v>
      </c>
      <c r="J45" s="2">
        <f t="shared" si="12"/>
        <v>0</v>
      </c>
      <c r="K45" s="2">
        <f t="shared" si="12"/>
        <v>0</v>
      </c>
    </row>
    <row r="46" spans="1:11" x14ac:dyDescent="0.25">
      <c r="A46" s="2" t="str">
        <f>'BCTC du phong'!B154</f>
        <v>2. Nguồn kinh phí đã hình thành TSCĐ</v>
      </c>
      <c r="B46" s="96">
        <f>'BCTC du phong'!C154</f>
        <v>0</v>
      </c>
      <c r="C46" s="96">
        <f>'BCTC du phong'!D154</f>
        <v>0</v>
      </c>
      <c r="D46" s="96">
        <f>'BCTC du phong'!E154</f>
        <v>0</v>
      </c>
      <c r="E46" s="96">
        <f>'BCTC du phong'!F154</f>
        <v>0</v>
      </c>
      <c r="F46" s="96">
        <f>'BCTC du phong'!G154</f>
        <v>0</v>
      </c>
      <c r="G46" s="2">
        <f t="shared" si="12"/>
        <v>0</v>
      </c>
      <c r="H46" s="2">
        <f t="shared" si="12"/>
        <v>0</v>
      </c>
      <c r="I46" s="2">
        <f t="shared" si="12"/>
        <v>0</v>
      </c>
      <c r="J46" s="2">
        <f t="shared" si="12"/>
        <v>0</v>
      </c>
      <c r="K46" s="2">
        <f t="shared" si="12"/>
        <v>0</v>
      </c>
    </row>
    <row r="47" spans="1:11" x14ac:dyDescent="0.25">
      <c r="A47" s="2" t="str">
        <f>'BCTC du phong'!B155</f>
        <v>C. LỢI ÍCH CỔ ĐÔNG THIỂU SỐ</v>
      </c>
      <c r="B47" s="96">
        <f>'BCTC du phong'!C155</f>
        <v>0</v>
      </c>
      <c r="C47" s="96">
        <f>'BCTC du phong'!D155</f>
        <v>0</v>
      </c>
      <c r="D47" s="96">
        <f>'BCTC du phong'!E155</f>
        <v>0</v>
      </c>
      <c r="E47" s="96">
        <f>'BCTC du phong'!F155</f>
        <v>0</v>
      </c>
      <c r="F47" s="96">
        <f>'BCTC du phong'!G155</f>
        <v>0</v>
      </c>
      <c r="G47" s="2">
        <f t="shared" si="12"/>
        <v>0</v>
      </c>
      <c r="H47" s="2">
        <f t="shared" si="12"/>
        <v>0</v>
      </c>
      <c r="I47" s="2">
        <f t="shared" si="12"/>
        <v>0</v>
      </c>
      <c r="J47" s="2">
        <f t="shared" si="12"/>
        <v>0</v>
      </c>
      <c r="K47" s="2">
        <f t="shared" si="1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rang_tính5"/>
  <dimension ref="A1:K36"/>
  <sheetViews>
    <sheetView workbookViewId="0">
      <selection activeCell="G19" sqref="G19"/>
    </sheetView>
  </sheetViews>
  <sheetFormatPr defaultRowHeight="15" x14ac:dyDescent="0.25"/>
  <cols>
    <col min="1" max="6" width="20.5703125" customWidth="1"/>
    <col min="7" max="7" width="20.42578125" customWidth="1"/>
    <col min="8" max="10" width="20.5703125" customWidth="1"/>
    <col min="11" max="11" width="26.5703125" customWidth="1"/>
  </cols>
  <sheetData>
    <row r="1" spans="1:11" x14ac:dyDescent="0.25">
      <c r="A1" s="2" t="s">
        <v>91</v>
      </c>
      <c r="B1" s="96">
        <f>'[1]Bảng Cân Đối Kế Toán'!C5</f>
        <v>2015</v>
      </c>
      <c r="C1" s="96">
        <f>'[1]Bảng Cân Đối Kế Toán'!D5</f>
        <v>2016</v>
      </c>
      <c r="D1" s="96">
        <f>'[1]Bảng Cân Đối Kế Toán'!E5</f>
        <v>2017</v>
      </c>
      <c r="E1" s="96">
        <f>'[1]Bảng Cân Đối Kế Toán'!F5</f>
        <v>2018</v>
      </c>
      <c r="F1" s="96">
        <f>'[1]Bảng Cân Đối Kế Toán'!G5</f>
        <v>2019</v>
      </c>
      <c r="G1" s="2">
        <f>F1+1</f>
        <v>2020</v>
      </c>
      <c r="H1" s="2">
        <f>G1+1</f>
        <v>2021</v>
      </c>
      <c r="I1" s="2">
        <f>H1+1</f>
        <v>2022</v>
      </c>
      <c r="J1" s="2">
        <f>I1+1</f>
        <v>2023</v>
      </c>
      <c r="K1" s="2">
        <f>J1+1</f>
        <v>2024</v>
      </c>
    </row>
    <row r="3" spans="1:11" x14ac:dyDescent="0.25">
      <c r="A3" t="s">
        <v>92</v>
      </c>
      <c r="B3" s="109">
        <f>'BCTC du phong'!C8</f>
        <v>2069445000</v>
      </c>
      <c r="C3" s="109">
        <f>'BCTC du phong'!D8</f>
        <v>9650395000</v>
      </c>
      <c r="D3" s="109">
        <f>'BCTC du phong'!E8</f>
        <v>15862747000</v>
      </c>
      <c r="E3" s="109">
        <f>'BCTC du phong'!F8</f>
        <v>21072474000</v>
      </c>
      <c r="F3" s="109">
        <f>'BCTC du phong'!G8</f>
        <v>20007170000</v>
      </c>
      <c r="G3" s="1">
        <f>G34</f>
        <v>19088172972.700562</v>
      </c>
      <c r="H3" s="1">
        <f>H34</f>
        <v>36491415453.894821</v>
      </c>
      <c r="I3" s="1">
        <f>I34</f>
        <v>33596774334.671471</v>
      </c>
      <c r="J3" s="1">
        <f>J34</f>
        <v>47407019002.73024</v>
      </c>
      <c r="K3" s="1">
        <f>K34</f>
        <v>40656679976.926308</v>
      </c>
    </row>
    <row r="4" spans="1:11" x14ac:dyDescent="0.25">
      <c r="A4" t="s">
        <v>93</v>
      </c>
      <c r="B4" s="109">
        <f>'BCTC du phong'!C9</f>
        <v>2753785000</v>
      </c>
      <c r="C4" s="109">
        <f>'BCTC du phong'!D9</f>
        <v>6712827000</v>
      </c>
      <c r="D4" s="109">
        <f>'BCTC du phong'!E9</f>
        <v>-595617000</v>
      </c>
      <c r="E4" s="109">
        <f>'BCTC du phong'!F9</f>
        <v>2523401000</v>
      </c>
      <c r="F4" s="109">
        <f>'BCTC du phong'!G9</f>
        <v>1353416000</v>
      </c>
      <c r="G4" s="114">
        <f>G15</f>
        <v>1309112619.9002974</v>
      </c>
      <c r="H4" s="114">
        <f>H15</f>
        <v>1901853972.2468011</v>
      </c>
      <c r="I4" s="114">
        <f>I15</f>
        <v>1785608006.2255778</v>
      </c>
      <c r="J4" s="114">
        <f>J15</f>
        <v>2649736638.1555505</v>
      </c>
      <c r="K4" s="114">
        <f>K15</f>
        <v>2905353951.0458469</v>
      </c>
    </row>
    <row r="5" spans="1:11" x14ac:dyDescent="0.25">
      <c r="B5" s="53"/>
      <c r="C5" s="53"/>
      <c r="D5" s="53"/>
      <c r="E5" s="53"/>
      <c r="F5" s="53"/>
    </row>
    <row r="6" spans="1:11" x14ac:dyDescent="0.25">
      <c r="A6" t="s">
        <v>94</v>
      </c>
      <c r="B6" s="96">
        <f>'BCTC du phong'!C112</f>
        <v>0</v>
      </c>
      <c r="C6" s="96">
        <f>'BCTC du phong'!D112</f>
        <v>0</v>
      </c>
      <c r="D6" s="96">
        <f>'BCTC du phong'!E112</f>
        <v>0</v>
      </c>
      <c r="E6" s="96">
        <f>'BCTC du phong'!F112</f>
        <v>23497576000</v>
      </c>
      <c r="F6" s="96">
        <f>'BCTC du phong'!G112</f>
        <v>0</v>
      </c>
      <c r="G6" s="111">
        <f>G8+G7</f>
        <v>0</v>
      </c>
      <c r="H6" s="111">
        <f t="shared" ref="H6:K6" si="0">H8+H7</f>
        <v>0</v>
      </c>
      <c r="I6" s="111">
        <f t="shared" si="0"/>
        <v>0</v>
      </c>
      <c r="J6" s="111">
        <f t="shared" si="0"/>
        <v>0</v>
      </c>
      <c r="K6" s="111">
        <f t="shared" si="0"/>
        <v>0</v>
      </c>
    </row>
    <row r="7" spans="1:11" x14ac:dyDescent="0.25">
      <c r="A7" t="s">
        <v>354</v>
      </c>
      <c r="B7" s="96"/>
      <c r="C7" s="96"/>
      <c r="D7" s="96"/>
      <c r="E7" s="96"/>
      <c r="F7" s="53"/>
      <c r="G7" s="2">
        <f>IF(AND('Vốn lưu động'!$H$88&gt;0,G19&lt;200%),G19*'Vốn lưu động'!G88-F6,0)</f>
        <v>22563563110.083637</v>
      </c>
      <c r="H7" s="2">
        <f>IF(AND('Vốn lưu động'!$H$88&gt;0,H19&lt;200%),H19*'Vốn lưu động'!H88-G6,0)</f>
        <v>32779916316.307602</v>
      </c>
      <c r="I7" s="2">
        <f>IF(AND('Vốn lưu động'!$H$88&gt;0,I19&lt;200%),I19*'Vốn lưu động'!I88-H6,0)</f>
        <v>30776327663.398373</v>
      </c>
      <c r="J7" s="2">
        <f>IF(AND('Vốn lưu động'!$H$88&gt;0,J19&lt;200%),J19*'Vốn lưu động'!J88-I6,0)</f>
        <v>45670249412.672424</v>
      </c>
      <c r="K7" s="2">
        <f>IF(AND('Vốn lưu động'!$H$88&gt;0,K19&lt;200%),K19*'Vốn lưu động'!K88-J6,0)</f>
        <v>50076010447.86087</v>
      </c>
    </row>
    <row r="8" spans="1:11" x14ac:dyDescent="0.25">
      <c r="A8" t="s">
        <v>353</v>
      </c>
      <c r="B8" s="96"/>
      <c r="C8" s="96"/>
      <c r="D8" s="96"/>
      <c r="E8" s="96"/>
      <c r="F8" s="53">
        <f>-F7</f>
        <v>0</v>
      </c>
      <c r="G8" s="164">
        <f t="shared" ref="G8:K8" si="1">-G7</f>
        <v>-22563563110.083637</v>
      </c>
      <c r="H8" s="164">
        <f t="shared" si="1"/>
        <v>-32779916316.307602</v>
      </c>
      <c r="I8" s="164">
        <f t="shared" si="1"/>
        <v>-30776327663.398373</v>
      </c>
      <c r="J8" s="164">
        <f t="shared" si="1"/>
        <v>-45670249412.672424</v>
      </c>
      <c r="K8" s="164">
        <f t="shared" si="1"/>
        <v>-50076010447.86087</v>
      </c>
    </row>
    <row r="9" spans="1:11" x14ac:dyDescent="0.25">
      <c r="B9" s="53"/>
      <c r="C9" s="53"/>
      <c r="D9" s="53"/>
      <c r="E9" s="53"/>
      <c r="F9" s="53"/>
    </row>
    <row r="10" spans="1:11" x14ac:dyDescent="0.25">
      <c r="A10" t="s">
        <v>95</v>
      </c>
      <c r="B10" s="109">
        <f>'BCTC du phong'!C125</f>
        <v>0</v>
      </c>
      <c r="C10" s="109">
        <f>'BCTC du phong'!D125</f>
        <v>0</v>
      </c>
      <c r="D10" s="109">
        <f>'BCTC du phong'!E125</f>
        <v>0</v>
      </c>
      <c r="E10" s="109">
        <f>'BCTC du phong'!F125</f>
        <v>0</v>
      </c>
      <c r="F10" s="109">
        <f>'BCTC du phong'!G125</f>
        <v>0</v>
      </c>
      <c r="G10" s="112">
        <f>F10+G11-G12</f>
        <v>0</v>
      </c>
      <c r="H10" s="112">
        <f>G10+H11-H12</f>
        <v>0</v>
      </c>
      <c r="I10" s="112">
        <f>H10+I11-I12</f>
        <v>0</v>
      </c>
      <c r="J10" s="112">
        <f>I10+J11-J12</f>
        <v>0</v>
      </c>
      <c r="K10" s="112">
        <f>J10+K11-K12</f>
        <v>0</v>
      </c>
    </row>
    <row r="11" spans="1:11" x14ac:dyDescent="0.25">
      <c r="A11" t="s">
        <v>96</v>
      </c>
      <c r="B11" s="109"/>
      <c r="C11" s="109"/>
      <c r="D11" s="109"/>
      <c r="E11" s="109"/>
      <c r="F11" s="109"/>
      <c r="G11" s="1">
        <f>F10</f>
        <v>0</v>
      </c>
      <c r="H11" s="1">
        <f>G10</f>
        <v>0</v>
      </c>
      <c r="I11" s="1">
        <f>H10</f>
        <v>0</v>
      </c>
      <c r="J11" s="1">
        <f>I10</f>
        <v>0</v>
      </c>
      <c r="K11" s="1">
        <f>J10</f>
        <v>0</v>
      </c>
    </row>
    <row r="12" spans="1:11" x14ac:dyDescent="0.25">
      <c r="A12" t="s">
        <v>97</v>
      </c>
      <c r="B12" s="109"/>
      <c r="C12" s="109"/>
      <c r="D12" s="109"/>
      <c r="E12" s="109"/>
      <c r="F12" s="109"/>
      <c r="G12" s="1">
        <f>F10</f>
        <v>0</v>
      </c>
      <c r="H12" s="1">
        <f>G10</f>
        <v>0</v>
      </c>
      <c r="I12" s="1">
        <f>H10</f>
        <v>0</v>
      </c>
      <c r="J12" s="1">
        <f>I10</f>
        <v>0</v>
      </c>
      <c r="K12" s="1">
        <f>J10</f>
        <v>0</v>
      </c>
    </row>
    <row r="13" spans="1:11" x14ac:dyDescent="0.25">
      <c r="B13" s="53"/>
      <c r="C13" s="53"/>
      <c r="D13" s="53"/>
      <c r="E13" s="53"/>
      <c r="F13" s="53"/>
    </row>
    <row r="14" spans="1:11" x14ac:dyDescent="0.25">
      <c r="B14" s="53"/>
      <c r="C14" s="53"/>
      <c r="D14" s="53"/>
      <c r="E14" s="53"/>
      <c r="F14" s="53"/>
    </row>
    <row r="15" spans="1:11" x14ac:dyDescent="0.25">
      <c r="A15" t="s">
        <v>98</v>
      </c>
      <c r="B15" s="109">
        <f>'BCTC du phong'!C10</f>
        <v>0</v>
      </c>
      <c r="C15" s="109">
        <f>'BCTC du phong'!D10</f>
        <v>0</v>
      </c>
      <c r="D15" s="109">
        <f>'BCTC du phong'!E10</f>
        <v>0</v>
      </c>
      <c r="E15" s="109">
        <f>'BCTC du phong'!F10</f>
        <v>203969000</v>
      </c>
      <c r="F15" s="109">
        <f>'BCTC du phong'!G10</f>
        <v>1159334000</v>
      </c>
      <c r="G15" s="37">
        <f>(G10+G7)*G16</f>
        <v>1309112619.9002974</v>
      </c>
      <c r="H15" s="37">
        <f t="shared" ref="H15:K15" si="2">(H10+H7)*H16</f>
        <v>1901853972.2468011</v>
      </c>
      <c r="I15" s="37">
        <f t="shared" si="2"/>
        <v>1785608006.2255778</v>
      </c>
      <c r="J15" s="37">
        <f t="shared" si="2"/>
        <v>2649736638.1555505</v>
      </c>
      <c r="K15" s="37">
        <f t="shared" si="2"/>
        <v>2905353951.0458469</v>
      </c>
    </row>
    <row r="16" spans="1:11" x14ac:dyDescent="0.25">
      <c r="A16" t="s">
        <v>99</v>
      </c>
      <c r="F16" s="56">
        <f>IFERROR(AVERAGE(B15:F15)/(AVERAGE(B10:F10)+AVERAGE(B6:F6)),0)</f>
        <v>5.8018878202585659E-2</v>
      </c>
      <c r="G16" s="113">
        <f>F16</f>
        <v>5.8018878202585659E-2</v>
      </c>
      <c r="H16" s="113">
        <f>G16</f>
        <v>5.8018878202585659E-2</v>
      </c>
      <c r="I16" s="113">
        <f>H16</f>
        <v>5.8018878202585659E-2</v>
      </c>
      <c r="J16" s="113">
        <f>I16</f>
        <v>5.8018878202585659E-2</v>
      </c>
      <c r="K16" s="113">
        <f>J16</f>
        <v>5.8018878202585659E-2</v>
      </c>
    </row>
    <row r="18" spans="1:11" x14ac:dyDescent="0.25">
      <c r="B18" s="60"/>
      <c r="C18" s="60"/>
      <c r="D18" s="60"/>
      <c r="E18" s="60"/>
      <c r="F18" s="60"/>
    </row>
    <row r="19" spans="1:11" x14ac:dyDescent="0.25">
      <c r="A19" t="s">
        <v>100</v>
      </c>
      <c r="B19" s="60">
        <f>B6/(('BCTC du phong'!C41+'BCTC du phong'!C50+'BCTC du phong'!C53)-('BCTC du phong'!C102-'BCTC du phong'!C112))</f>
        <v>0</v>
      </c>
      <c r="C19" s="60">
        <f>C6/(('BCTC du phong'!D41+'BCTC du phong'!D50+'BCTC du phong'!D53)-('BCTC du phong'!D102-'BCTC du phong'!D112))</f>
        <v>0</v>
      </c>
      <c r="D19" s="60">
        <f>D6/(('BCTC du phong'!E41+'BCTC du phong'!E50+'BCTC du phong'!E53)-('BCTC du phong'!E102-'BCTC du phong'!E112))</f>
        <v>0</v>
      </c>
      <c r="E19" s="60">
        <f>E6/(('BCTC du phong'!F41+'BCTC du phong'!F50+'BCTC du phong'!F53)-('BCTC du phong'!F102-'BCTC du phong'!F112))</f>
        <v>4.2630604455403454E-2</v>
      </c>
      <c r="F19" s="60">
        <f>F6/(('BCTC du phong'!G41+'BCTC du phong'!G50+'BCTC du phong'!G53)-('BCTC du phong'!G102-'BCTC du phong'!G112))</f>
        <v>0</v>
      </c>
      <c r="G19" s="106">
        <f>E19</f>
        <v>4.2630604455403454E-2</v>
      </c>
      <c r="H19" s="106">
        <f>G19</f>
        <v>4.2630604455403454E-2</v>
      </c>
      <c r="I19" s="106">
        <f>H19</f>
        <v>4.2630604455403454E-2</v>
      </c>
      <c r="J19" s="106">
        <f>I19</f>
        <v>4.2630604455403454E-2</v>
      </c>
      <c r="K19" s="106">
        <f>J19</f>
        <v>4.2630604455403454E-2</v>
      </c>
    </row>
    <row r="21" spans="1:11" x14ac:dyDescent="0.25">
      <c r="A21">
        <v>1</v>
      </c>
      <c r="B21" t="s">
        <v>101</v>
      </c>
    </row>
    <row r="22" spans="1:11" x14ac:dyDescent="0.25">
      <c r="A22" s="64" t="s">
        <v>102</v>
      </c>
      <c r="B22" t="s">
        <v>103</v>
      </c>
      <c r="F22" s="1">
        <f>'BCTC du phong'!F323</f>
        <v>79508403000</v>
      </c>
      <c r="G22" s="1">
        <f>'BCTC du phong'!G323</f>
        <v>98367152000</v>
      </c>
      <c r="H22" s="1">
        <f>'BCTC du phong'!H323</f>
        <v>397590987654.44354</v>
      </c>
      <c r="I22" s="1">
        <f>'BCTC du phong'!I323</f>
        <v>350342488824.47223</v>
      </c>
      <c r="J22" s="1">
        <f>'BCTC du phong'!J323</f>
        <v>592953742768.48938</v>
      </c>
      <c r="K22" s="1">
        <f>'BCTC du phong'!K323</f>
        <v>483812887724.42694</v>
      </c>
    </row>
    <row r="23" spans="1:11" x14ac:dyDescent="0.25">
      <c r="A23" s="64" t="s">
        <v>102</v>
      </c>
      <c r="B23" t="s">
        <v>104</v>
      </c>
      <c r="F23" s="2">
        <f>'BCTC du phong'!G320</f>
        <v>18858749000</v>
      </c>
      <c r="G23" s="2">
        <f>'BCTC du phong'!H320</f>
        <v>299223835654.44354</v>
      </c>
      <c r="H23" s="2">
        <f>'BCTC du phong'!I320</f>
        <v>-47248498829.971313</v>
      </c>
      <c r="I23" s="2">
        <f>'BCTC du phong'!J320</f>
        <v>242611253944.01718</v>
      </c>
      <c r="J23" s="2">
        <f>'BCTC du phong'!K320</f>
        <v>-109140855044.06244</v>
      </c>
      <c r="K23" s="2">
        <f>'BCTC du phong'!L320</f>
        <v>157079372366.21371</v>
      </c>
    </row>
    <row r="24" spans="1:11" x14ac:dyDescent="0.25">
      <c r="A24" s="64" t="s">
        <v>105</v>
      </c>
      <c r="B24" t="s">
        <v>106</v>
      </c>
      <c r="D24" t="s">
        <v>107</v>
      </c>
      <c r="E24" s="142">
        <v>0.02</v>
      </c>
      <c r="F24" s="2">
        <f>$E$24*'Doanh thu'!F6</f>
        <v>29367806200</v>
      </c>
      <c r="G24" s="2">
        <f>$E$24*'Doanh thu'!G6</f>
        <v>28633369300</v>
      </c>
      <c r="H24" s="2">
        <f>$E$24*'Doanh thu'!H6</f>
        <v>31276237020</v>
      </c>
      <c r="I24" s="2">
        <f>$E$24*'Doanh thu'!I6</f>
        <v>35857299828</v>
      </c>
      <c r="J24" s="2">
        <f>$E$24*'Doanh thu'!J6</f>
        <v>43063730959.199997</v>
      </c>
      <c r="K24" s="2">
        <f>$E$24*'Doanh thu'!K6</f>
        <v>53866383422.87999</v>
      </c>
    </row>
    <row r="25" spans="1:11" x14ac:dyDescent="0.25">
      <c r="B25" t="s">
        <v>108</v>
      </c>
      <c r="F25" s="114">
        <f t="shared" ref="F25:K25" si="3">F22+F23-F24</f>
        <v>68999345800</v>
      </c>
      <c r="G25" s="114">
        <f>G22+G23-G24</f>
        <v>368957618354.44354</v>
      </c>
      <c r="H25" s="114">
        <f t="shared" si="3"/>
        <v>319066251804.47223</v>
      </c>
      <c r="I25" s="114">
        <f t="shared" si="3"/>
        <v>557096442940.48938</v>
      </c>
      <c r="J25" s="114">
        <f t="shared" si="3"/>
        <v>440749156765.22693</v>
      </c>
      <c r="K25" s="114">
        <f t="shared" si="3"/>
        <v>587025876667.76062</v>
      </c>
    </row>
    <row r="27" spans="1:11" x14ac:dyDescent="0.25">
      <c r="A27">
        <v>2</v>
      </c>
      <c r="B27" t="s">
        <v>109</v>
      </c>
    </row>
    <row r="28" spans="1:11" x14ac:dyDescent="0.25">
      <c r="B28" t="s">
        <v>110</v>
      </c>
    </row>
    <row r="29" spans="1:11" x14ac:dyDescent="0.25">
      <c r="B29" t="s">
        <v>111</v>
      </c>
      <c r="G29" s="37">
        <f>F25</f>
        <v>68999345800</v>
      </c>
      <c r="H29" s="37">
        <f>G25</f>
        <v>368957618354.44354</v>
      </c>
      <c r="I29" s="37">
        <f>H25</f>
        <v>319066251804.47223</v>
      </c>
      <c r="J29" s="37">
        <f>I25</f>
        <v>557096442940.48938</v>
      </c>
      <c r="K29" s="37">
        <f>J25</f>
        <v>440749156765.22693</v>
      </c>
    </row>
    <row r="30" spans="1:11" x14ac:dyDescent="0.25">
      <c r="B30" t="s">
        <v>112</v>
      </c>
      <c r="F30" s="37">
        <f>'BCTC du phong'!G37</f>
        <v>260000000000</v>
      </c>
      <c r="G30" s="37">
        <f>'BCTC du phong'!H37</f>
        <v>260000000000</v>
      </c>
      <c r="H30" s="37">
        <f>'BCTC du phong'!I37</f>
        <v>260000000000</v>
      </c>
      <c r="I30" s="37">
        <f>'BCTC du phong'!J37</f>
        <v>260000000000</v>
      </c>
      <c r="J30" s="37">
        <f>'BCTC du phong'!K37</f>
        <v>260000000000</v>
      </c>
      <c r="K30" s="37">
        <f>'BCTC du phong'!L37</f>
        <v>260000000000</v>
      </c>
    </row>
    <row r="31" spans="1:11" x14ac:dyDescent="0.25">
      <c r="B31" t="s">
        <v>113</v>
      </c>
      <c r="F31" s="37">
        <f>'BCTC du phong'!G85</f>
        <v>12843956000</v>
      </c>
      <c r="G31" s="37">
        <f>'BCTC du phong'!H85</f>
        <v>12843956000</v>
      </c>
      <c r="H31" s="37">
        <f>'BCTC du phong'!I85</f>
        <v>12843956000</v>
      </c>
      <c r="I31" s="37">
        <f>'BCTC du phong'!J85</f>
        <v>12843956000</v>
      </c>
      <c r="J31" s="37">
        <f>'BCTC du phong'!K85</f>
        <v>12843956000</v>
      </c>
      <c r="K31" s="37">
        <f>'BCTC du phong'!L85</f>
        <v>12843956000</v>
      </c>
    </row>
    <row r="32" spans="1:11" x14ac:dyDescent="0.25">
      <c r="B32" t="s">
        <v>114</v>
      </c>
      <c r="G32" s="21">
        <f>'DT&amp;CP tài chính'!$F$16</f>
        <v>5.8018878202585659E-2</v>
      </c>
      <c r="H32" s="21">
        <f>'DT&amp;CP tài chính'!$F$16</f>
        <v>5.8018878202585659E-2</v>
      </c>
      <c r="I32" s="21">
        <f>'DT&amp;CP tài chính'!$F$16</f>
        <v>5.8018878202585659E-2</v>
      </c>
      <c r="J32" s="21">
        <f>'DT&amp;CP tài chính'!$F$16</f>
        <v>5.8018878202585659E-2</v>
      </c>
      <c r="K32" s="21">
        <f>'DT&amp;CP tài chính'!$F$16</f>
        <v>5.8018878202585659E-2</v>
      </c>
    </row>
    <row r="33" spans="2:11" x14ac:dyDescent="0.25">
      <c r="B33" t="s">
        <v>115</v>
      </c>
      <c r="G33" s="21">
        <f>IFERROR(IF((F15-F16*F6)/F10&gt;G32,0,(F15-F16*F6)/F10),0)</f>
        <v>0</v>
      </c>
      <c r="H33" s="21">
        <f>G33</f>
        <v>0</v>
      </c>
      <c r="I33" s="21">
        <f>H33</f>
        <v>0</v>
      </c>
      <c r="J33" s="21">
        <f>I33</f>
        <v>0</v>
      </c>
      <c r="K33" s="21">
        <f>J33</f>
        <v>0</v>
      </c>
    </row>
    <row r="34" spans="2:11" x14ac:dyDescent="0.25">
      <c r="B34" t="s">
        <v>92</v>
      </c>
      <c r="G34" s="100">
        <f>SUM('DT&amp;CP tài chính'!G29:G30)*'DT&amp;CP tài chính'!G32+G31*G33</f>
        <v>19088172972.700562</v>
      </c>
      <c r="H34" s="100">
        <f>SUM('DT&amp;CP tài chính'!H29:H30)*'DT&amp;CP tài chính'!H32+H31*H33</f>
        <v>36491415453.894821</v>
      </c>
      <c r="I34" s="100">
        <f>SUM('DT&amp;CP tài chính'!I29:I30)*'DT&amp;CP tài chính'!I32+I31*I33</f>
        <v>33596774334.671471</v>
      </c>
      <c r="J34" s="100">
        <f>SUM('DT&amp;CP tài chính'!J29:J30)*'DT&amp;CP tài chính'!J32+J31*J33</f>
        <v>47407019002.73024</v>
      </c>
      <c r="K34" s="100">
        <f>SUM('DT&amp;CP tài chính'!K29:K30)*'DT&amp;CP tài chính'!K32+K31*K33</f>
        <v>40656679976.926308</v>
      </c>
    </row>
    <row r="36" spans="2:11" x14ac:dyDescent="0.25">
      <c r="G36" s="64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rang_tính1"/>
  <dimension ref="A1:H61"/>
  <sheetViews>
    <sheetView topLeftCell="A72" zoomScale="90" zoomScaleNormal="90" workbookViewId="0">
      <selection activeCell="C18" sqref="C18"/>
    </sheetView>
  </sheetViews>
  <sheetFormatPr defaultRowHeight="15" x14ac:dyDescent="0.25"/>
  <cols>
    <col min="1" max="1" width="21.85546875" customWidth="1"/>
    <col min="2" max="2" width="20.28515625" customWidth="1"/>
    <col min="3" max="3" width="23.42578125" bestFit="1" customWidth="1"/>
    <col min="4" max="8" width="20.5703125" customWidth="1"/>
  </cols>
  <sheetData>
    <row r="1" spans="1:8" x14ac:dyDescent="0.25">
      <c r="A1" t="s">
        <v>116</v>
      </c>
    </row>
    <row r="2" spans="1:8" ht="32.450000000000003" customHeight="1" x14ac:dyDescent="0.25">
      <c r="B2" t="s">
        <v>1</v>
      </c>
      <c r="C2" t="s">
        <v>117</v>
      </c>
      <c r="E2" s="161"/>
      <c r="F2" s="162"/>
    </row>
    <row r="3" spans="1:8" x14ac:dyDescent="0.25">
      <c r="A3" t="s">
        <v>118</v>
      </c>
      <c r="B3" s="110">
        <f>C42</f>
        <v>64125.606803552189</v>
      </c>
      <c r="C3" s="113">
        <v>0</v>
      </c>
      <c r="E3" s="44"/>
      <c r="F3" s="162"/>
    </row>
    <row r="4" spans="1:8" x14ac:dyDescent="0.25">
      <c r="A4" t="s">
        <v>119</v>
      </c>
      <c r="B4" s="110">
        <f>C61</f>
        <v>64583.264893064821</v>
      </c>
      <c r="C4" s="113">
        <v>1</v>
      </c>
      <c r="E4" s="34"/>
      <c r="F4" s="34"/>
    </row>
    <row r="5" spans="1:8" x14ac:dyDescent="0.25">
      <c r="A5" t="s">
        <v>120</v>
      </c>
      <c r="B5" s="115"/>
      <c r="C5" s="116"/>
      <c r="E5" s="34"/>
      <c r="F5" s="128"/>
    </row>
    <row r="6" spans="1:8" x14ac:dyDescent="0.25">
      <c r="A6" s="117" t="s">
        <v>44</v>
      </c>
      <c r="B6" s="118">
        <f>B4</f>
        <v>64583.264893064821</v>
      </c>
      <c r="C6" t="s">
        <v>29</v>
      </c>
      <c r="E6" s="34"/>
      <c r="F6" s="128"/>
    </row>
    <row r="7" spans="1:8" x14ac:dyDescent="0.25">
      <c r="A7" s="117" t="s">
        <v>121</v>
      </c>
      <c r="B7" s="118">
        <v>53300</v>
      </c>
      <c r="E7" s="34"/>
      <c r="F7" s="128"/>
    </row>
    <row r="8" spans="1:8" x14ac:dyDescent="0.25">
      <c r="A8" s="117" t="s">
        <v>122</v>
      </c>
      <c r="B8" s="120">
        <f>B6/B7-1</f>
        <v>0.21169352519821438</v>
      </c>
    </row>
    <row r="11" spans="1:8" x14ac:dyDescent="0.25">
      <c r="C11" s="122">
        <f t="shared" ref="C11:H11" si="0">C27</f>
        <v>2019</v>
      </c>
      <c r="D11" s="32">
        <f t="shared" si="0"/>
        <v>2020</v>
      </c>
      <c r="E11" s="32">
        <f t="shared" si="0"/>
        <v>2021</v>
      </c>
      <c r="F11" s="32">
        <f t="shared" si="0"/>
        <v>2022</v>
      </c>
      <c r="G11" s="32">
        <f t="shared" si="0"/>
        <v>2023</v>
      </c>
      <c r="H11" s="33">
        <f t="shared" si="0"/>
        <v>2024</v>
      </c>
    </row>
    <row r="12" spans="1:8" x14ac:dyDescent="0.25">
      <c r="A12" t="s">
        <v>123</v>
      </c>
      <c r="B12" s="21">
        <v>2.9000000000000001E-2</v>
      </c>
      <c r="C12" s="15"/>
      <c r="D12" s="34"/>
      <c r="E12" s="34"/>
      <c r="F12" s="34"/>
      <c r="G12" s="34"/>
      <c r="H12" s="35"/>
    </row>
    <row r="13" spans="1:8" x14ac:dyDescent="0.25">
      <c r="A13" t="s">
        <v>124</v>
      </c>
      <c r="B13" s="101">
        <v>0.67</v>
      </c>
      <c r="C13" s="15" t="s">
        <v>125</v>
      </c>
      <c r="D13" s="34"/>
      <c r="E13" s="34"/>
      <c r="F13" s="34"/>
      <c r="G13" s="34"/>
      <c r="H13" s="35"/>
    </row>
    <row r="14" spans="1:8" x14ac:dyDescent="0.25">
      <c r="A14" t="s">
        <v>126</v>
      </c>
      <c r="B14" s="123">
        <f>B13*2/3+1/3</f>
        <v>0.78</v>
      </c>
      <c r="C14" s="15"/>
      <c r="D14" s="34"/>
      <c r="E14" s="34"/>
      <c r="F14" s="34"/>
      <c r="G14" s="34"/>
      <c r="H14" s="35"/>
    </row>
    <row r="15" spans="1:8" x14ac:dyDescent="0.25">
      <c r="A15" t="s">
        <v>127</v>
      </c>
      <c r="B15" s="99">
        <f>B14/(1+C17*(1-C18))</f>
        <v>0.78</v>
      </c>
      <c r="C15" s="15"/>
      <c r="D15" s="34"/>
      <c r="E15" s="34"/>
      <c r="F15" s="34"/>
      <c r="G15" s="34"/>
      <c r="H15" s="35"/>
    </row>
    <row r="16" spans="1:8" x14ac:dyDescent="0.25">
      <c r="A16" t="s">
        <v>128</v>
      </c>
      <c r="B16" s="2">
        <f>B7*'BCTC du phong'!G135/10^4</f>
        <v>1850973884500</v>
      </c>
      <c r="C16" s="15"/>
      <c r="D16" s="34"/>
      <c r="E16" s="34"/>
      <c r="F16" s="34"/>
      <c r="G16" s="34"/>
      <c r="H16" s="35"/>
    </row>
    <row r="17" spans="1:8" x14ac:dyDescent="0.25">
      <c r="A17" t="s">
        <v>129</v>
      </c>
      <c r="C17" s="124">
        <f>('BCTC du phong'!G112+'BCTC du phong'!G125)/$B$16</f>
        <v>0</v>
      </c>
      <c r="D17" s="125">
        <f>('BCTC du phong'!H112+'BCTC du phong'!H125)/$B$16</f>
        <v>0</v>
      </c>
      <c r="E17" s="125">
        <f>('BCTC du phong'!I112+'BCTC du phong'!I125)/$B$16</f>
        <v>0</v>
      </c>
      <c r="F17" s="125">
        <f>('BCTC du phong'!J112+'BCTC du phong'!J125)/$B$16</f>
        <v>0</v>
      </c>
      <c r="G17" s="125">
        <f>('BCTC du phong'!K112+'BCTC du phong'!K125)/$B$16</f>
        <v>0</v>
      </c>
      <c r="H17" s="126">
        <f>('BCTC du phong'!L112+'BCTC du phong'!L125)/$B$16</f>
        <v>0</v>
      </c>
    </row>
    <row r="18" spans="1:8" x14ac:dyDescent="0.25">
      <c r="A18" t="s">
        <v>3</v>
      </c>
      <c r="C18" s="127">
        <f>'BCTC du phong'!G20</f>
        <v>0.18694946771385557</v>
      </c>
      <c r="D18" s="128">
        <f>'BCTC du phong'!H20</f>
        <v>0.18694946771385557</v>
      </c>
      <c r="E18" s="128">
        <f>'BCTC du phong'!I20</f>
        <v>0.18694946771385557</v>
      </c>
      <c r="F18" s="128">
        <f>'BCTC du phong'!J20</f>
        <v>0.18694946771385557</v>
      </c>
      <c r="G18" s="128">
        <f>'BCTC du phong'!K20</f>
        <v>0.18694946771385557</v>
      </c>
      <c r="H18" s="119">
        <f>'BCTC du phong'!L20</f>
        <v>0.18694946771385557</v>
      </c>
    </row>
    <row r="19" spans="1:8" x14ac:dyDescent="0.25">
      <c r="A19" t="s">
        <v>130</v>
      </c>
      <c r="C19" s="129">
        <f t="shared" ref="C19:H19" si="1">$B$15*(1+C17*(1-C18))</f>
        <v>0.78</v>
      </c>
      <c r="D19" s="130">
        <f t="shared" si="1"/>
        <v>0.78</v>
      </c>
      <c r="E19" s="130">
        <f t="shared" si="1"/>
        <v>0.78</v>
      </c>
      <c r="F19" s="130">
        <f t="shared" si="1"/>
        <v>0.78</v>
      </c>
      <c r="G19" s="130">
        <f t="shared" si="1"/>
        <v>0.78</v>
      </c>
      <c r="H19" s="131">
        <f t="shared" si="1"/>
        <v>0.78</v>
      </c>
    </row>
    <row r="20" spans="1:8" x14ac:dyDescent="0.25">
      <c r="A20" t="s">
        <v>131</v>
      </c>
      <c r="B20" s="65">
        <v>0.1052</v>
      </c>
      <c r="C20" s="15"/>
      <c r="D20" s="34"/>
      <c r="E20" s="34"/>
      <c r="F20" s="34"/>
      <c r="G20" s="34"/>
      <c r="H20" s="35"/>
    </row>
    <row r="21" spans="1:8" x14ac:dyDescent="0.25">
      <c r="A21" t="s">
        <v>132</v>
      </c>
      <c r="C21" s="156">
        <f>$B$12+C19*$B$20</f>
        <v>0.111056</v>
      </c>
      <c r="D21" s="132">
        <f t="shared" ref="D21:H21" si="2">$B$12+D19*$B$20</f>
        <v>0.111056</v>
      </c>
      <c r="E21" s="132">
        <f t="shared" si="2"/>
        <v>0.111056</v>
      </c>
      <c r="F21" s="132">
        <f t="shared" si="2"/>
        <v>0.111056</v>
      </c>
      <c r="G21" s="132">
        <f t="shared" si="2"/>
        <v>0.111056</v>
      </c>
      <c r="H21" s="133">
        <f t="shared" si="2"/>
        <v>0.111056</v>
      </c>
    </row>
    <row r="22" spans="1:8" x14ac:dyDescent="0.25">
      <c r="A22" t="s">
        <v>133</v>
      </c>
      <c r="C22" s="157">
        <f>'DT&amp;CP tài chính'!$F$16</f>
        <v>5.8018878202585659E-2</v>
      </c>
      <c r="D22" s="158">
        <f>'DT&amp;CP tài chính'!$F$16</f>
        <v>5.8018878202585659E-2</v>
      </c>
      <c r="E22" s="158">
        <f>'DT&amp;CP tài chính'!$F$16</f>
        <v>5.8018878202585659E-2</v>
      </c>
      <c r="F22" s="158">
        <f>'DT&amp;CP tài chính'!$F$16</f>
        <v>5.8018878202585659E-2</v>
      </c>
      <c r="G22" s="158">
        <f>'DT&amp;CP tài chính'!$F$16</f>
        <v>5.8018878202585659E-2</v>
      </c>
      <c r="H22" s="159">
        <f>'DT&amp;CP tài chính'!$F$16</f>
        <v>5.8018878202585659E-2</v>
      </c>
    </row>
    <row r="23" spans="1:8" x14ac:dyDescent="0.25">
      <c r="A23" t="s">
        <v>350</v>
      </c>
      <c r="C23" s="129">
        <f>('BCTC du phong'!G112+'BCTC du phong'!G125)/('BCTC du phong'!G112+'BCTC du phong'!G125+$B$16)</f>
        <v>0</v>
      </c>
      <c r="D23" s="130">
        <f>('BCTC du phong'!H112+'BCTC du phong'!H125)/('BCTC du phong'!H112+'BCTC du phong'!H125+$B$16)</f>
        <v>0</v>
      </c>
      <c r="E23" s="130">
        <f>('BCTC du phong'!I112+'BCTC du phong'!I125)/('BCTC du phong'!I112+'BCTC du phong'!I125+$B$16)</f>
        <v>0</v>
      </c>
      <c r="F23" s="130">
        <f>('BCTC du phong'!J112+'BCTC du phong'!J125)/('BCTC du phong'!J112+'BCTC du phong'!J125+$B$16)</f>
        <v>0</v>
      </c>
      <c r="G23" s="130">
        <f>('BCTC du phong'!K112+'BCTC du phong'!K125)/('BCTC du phong'!K112+'BCTC du phong'!K125+$B$16)</f>
        <v>0</v>
      </c>
      <c r="H23" s="131">
        <f>('BCTC du phong'!L112+'BCTC du phong'!L125)/('BCTC du phong'!L112+'BCTC du phong'!L125+$B$16)</f>
        <v>0</v>
      </c>
    </row>
    <row r="24" spans="1:8" x14ac:dyDescent="0.25">
      <c r="A24" t="s">
        <v>134</v>
      </c>
      <c r="C24" s="156">
        <f>C21*(1-C23)+C22*C23*(1-C18)</f>
        <v>0.111056</v>
      </c>
      <c r="D24" s="132">
        <f t="shared" ref="D24:H24" si="3">D21*(1-D23)+D22*D23*(1-D18)</f>
        <v>0.111056</v>
      </c>
      <c r="E24" s="132">
        <f t="shared" si="3"/>
        <v>0.111056</v>
      </c>
      <c r="F24" s="132">
        <f t="shared" si="3"/>
        <v>0.111056</v>
      </c>
      <c r="G24" s="132">
        <f t="shared" si="3"/>
        <v>0.111056</v>
      </c>
      <c r="H24" s="133">
        <f t="shared" si="3"/>
        <v>0.111056</v>
      </c>
    </row>
    <row r="25" spans="1:8" x14ac:dyDescent="0.25">
      <c r="A25" t="s">
        <v>135</v>
      </c>
      <c r="B25" s="113">
        <v>2.5000000000000001E-2</v>
      </c>
      <c r="C25" s="15"/>
      <c r="D25" s="134"/>
      <c r="E25" s="34"/>
      <c r="F25" s="34"/>
      <c r="G25" s="34"/>
      <c r="H25" s="35"/>
    </row>
    <row r="26" spans="1:8" x14ac:dyDescent="0.25">
      <c r="C26" s="15"/>
      <c r="D26" s="34"/>
      <c r="E26" s="34"/>
      <c r="F26" s="34"/>
      <c r="G26" s="34"/>
      <c r="H26" s="35"/>
    </row>
    <row r="27" spans="1:8" x14ac:dyDescent="0.25">
      <c r="A27" s="6" t="s">
        <v>136</v>
      </c>
      <c r="B27" s="121"/>
      <c r="C27" s="122">
        <f>'[1]Bảng Cân Đối Kế Toán'!G5</f>
        <v>2019</v>
      </c>
      <c r="D27" s="7">
        <f>C27+1</f>
        <v>2020</v>
      </c>
      <c r="E27" s="7">
        <f>D27+1</f>
        <v>2021</v>
      </c>
      <c r="F27" s="7">
        <f>E27+1</f>
        <v>2022</v>
      </c>
      <c r="G27" s="7">
        <f>F27+1</f>
        <v>2023</v>
      </c>
      <c r="H27" s="9">
        <f>G27+1</f>
        <v>2024</v>
      </c>
    </row>
    <row r="28" spans="1:8" x14ac:dyDescent="0.25">
      <c r="A28" s="15" t="s">
        <v>137</v>
      </c>
      <c r="B28" s="34"/>
      <c r="C28" s="10">
        <f>'BCTC du phong'!G25</f>
        <v>232634592000</v>
      </c>
      <c r="D28" s="11">
        <f>'BCTC du phong'!H25</f>
        <v>219401907782.64047</v>
      </c>
      <c r="E28" s="11">
        <f>'BCTC du phong'!I25</f>
        <v>251587504706.5885</v>
      </c>
      <c r="F28" s="11">
        <f>'BCTC du phong'!J25</f>
        <v>281426711710.51685</v>
      </c>
      <c r="G28" s="11">
        <f>'BCTC du phong'!K25</f>
        <v>342445937725.8938</v>
      </c>
      <c r="H28" s="16">
        <f>'BCTC du phong'!L25</f>
        <v>412440803847.92621</v>
      </c>
    </row>
    <row r="29" spans="1:8" x14ac:dyDescent="0.25">
      <c r="A29" s="15" t="s">
        <v>138</v>
      </c>
      <c r="B29" s="34"/>
      <c r="C29" s="10">
        <f>'BCTC du phong'!G290</f>
        <v>28550026000</v>
      </c>
      <c r="D29" s="11">
        <f>'BCTC du phong'!H290</f>
        <v>51401728114.240685</v>
      </c>
      <c r="E29" s="11">
        <f>'BCTC du phong'!I290</f>
        <v>50122969748.071579</v>
      </c>
      <c r="F29" s="11">
        <f>'BCTC du phong'!J290</f>
        <v>48168734667.417419</v>
      </c>
      <c r="G29" s="11">
        <f>'BCTC du phong'!K290</f>
        <v>46943297645.414322</v>
      </c>
      <c r="H29" s="16">
        <f>'BCTC du phong'!L290</f>
        <v>45300060014.54538</v>
      </c>
    </row>
    <row r="30" spans="1:8" x14ac:dyDescent="0.25">
      <c r="A30" s="15" t="s">
        <v>139</v>
      </c>
      <c r="B30" s="34"/>
      <c r="C30" s="10">
        <f>TSCĐ!F35</f>
        <v>-35203196000</v>
      </c>
      <c r="D30" s="11">
        <f>TSCĐ!G35</f>
        <v>-27319516800.207493</v>
      </c>
      <c r="E30" s="11">
        <f>TSCĐ!H35</f>
        <v>-15022453483.258385</v>
      </c>
      <c r="F30" s="11">
        <f>TSCĐ!I35</f>
        <v>-28290232638.804573</v>
      </c>
      <c r="G30" s="11">
        <f>TSCĐ!J35</f>
        <v>-20684166536.289276</v>
      </c>
      <c r="H30" s="16">
        <f>TSCĐ!K35</f>
        <v>-42498808492.388329</v>
      </c>
    </row>
    <row r="31" spans="1:8" x14ac:dyDescent="0.25">
      <c r="A31" s="15" t="s">
        <v>140</v>
      </c>
      <c r="B31" s="34"/>
      <c r="C31" s="10">
        <f>'BCTC du phong'!G291</f>
        <v>-118542429000</v>
      </c>
      <c r="D31" s="11">
        <f>'BCTC du phong'!H291</f>
        <v>138311255147.40454</v>
      </c>
      <c r="E31" s="11">
        <f>'BCTC du phong'!I291</f>
        <v>-239648330975.7301</v>
      </c>
      <c r="F31" s="11">
        <f>'BCTC du phong'!J291</f>
        <v>46998832845.666283</v>
      </c>
      <c r="G31" s="11">
        <f>'BCTC du phong'!K291</f>
        <v>-349371582681.98633</v>
      </c>
      <c r="H31" s="16">
        <f>'BCTC du phong'!L291</f>
        <v>-103347374297.66891</v>
      </c>
    </row>
    <row r="32" spans="1:8" x14ac:dyDescent="0.25">
      <c r="A32" s="15" t="s">
        <v>141</v>
      </c>
      <c r="B32" s="34"/>
      <c r="C32" s="10">
        <f>SUM('BCTC du phong'!G312:G313)</f>
        <v>-23497576000</v>
      </c>
      <c r="D32" s="11">
        <f>SUM('BCTC du phong'!H312:H313)</f>
        <v>0</v>
      </c>
      <c r="E32" s="11">
        <f>SUM('BCTC du phong'!I312:I313)</f>
        <v>0</v>
      </c>
      <c r="F32" s="11">
        <f>SUM('BCTC du phong'!J312:J313)</f>
        <v>0</v>
      </c>
      <c r="G32" s="11">
        <f>SUM('BCTC du phong'!K312:K313)</f>
        <v>0</v>
      </c>
      <c r="H32" s="16">
        <f>SUM('BCTC du phong'!L312:L313)</f>
        <v>0</v>
      </c>
    </row>
    <row r="33" spans="1:8" x14ac:dyDescent="0.25">
      <c r="A33" s="15" t="s">
        <v>136</v>
      </c>
      <c r="B33" s="34"/>
      <c r="C33" s="10">
        <f t="shared" ref="C33:H33" si="4">SUM(C28:C32)</f>
        <v>83941417000</v>
      </c>
      <c r="D33" s="11">
        <f>SUM(D28:D32)</f>
        <v>381795374244.07825</v>
      </c>
      <c r="E33" s="11">
        <f t="shared" si="4"/>
        <v>47039689995.671631</v>
      </c>
      <c r="F33" s="11">
        <f t="shared" si="4"/>
        <v>348304046584.79596</v>
      </c>
      <c r="G33" s="11">
        <f t="shared" si="4"/>
        <v>19333486153.032471</v>
      </c>
      <c r="H33" s="16">
        <f t="shared" si="4"/>
        <v>311894681072.41431</v>
      </c>
    </row>
    <row r="34" spans="1:8" x14ac:dyDescent="0.25">
      <c r="A34" s="15" t="s">
        <v>142</v>
      </c>
      <c r="B34" s="34"/>
      <c r="C34" s="10">
        <v>1</v>
      </c>
      <c r="D34" s="130">
        <f>(1+D21)</f>
        <v>1.111056</v>
      </c>
      <c r="E34" s="130">
        <f>D34*(1+E21)</f>
        <v>1.2344454351360001</v>
      </c>
      <c r="F34" s="130">
        <f>E34*(1+F21)</f>
        <v>1.3715380073804637</v>
      </c>
      <c r="G34" s="130">
        <f>F34*(1+G21)</f>
        <v>1.5238555323281087</v>
      </c>
      <c r="H34" s="131">
        <f>G34*(1+H21)</f>
        <v>1.6930888323263391</v>
      </c>
    </row>
    <row r="35" spans="1:8" x14ac:dyDescent="0.25">
      <c r="A35" s="26" t="s">
        <v>143</v>
      </c>
      <c r="B35" s="50"/>
      <c r="C35" s="135">
        <f t="shared" ref="C35:H35" si="5">C33/C34</f>
        <v>83941417000</v>
      </c>
      <c r="D35" s="27">
        <f t="shared" si="5"/>
        <v>343632881010.56854</v>
      </c>
      <c r="E35" s="27">
        <f t="shared" si="5"/>
        <v>38105928910.895294</v>
      </c>
      <c r="F35" s="27">
        <f t="shared" si="5"/>
        <v>253951436059.74942</v>
      </c>
      <c r="G35" s="27">
        <f t="shared" si="5"/>
        <v>12687217221.632061</v>
      </c>
      <c r="H35" s="29">
        <f t="shared" si="5"/>
        <v>184216371354.75317</v>
      </c>
    </row>
    <row r="36" spans="1:8" x14ac:dyDescent="0.25">
      <c r="A36" t="s">
        <v>144</v>
      </c>
      <c r="C36" s="2">
        <f>SUM(D35:H35)</f>
        <v>832593834557.59851</v>
      </c>
      <c r="D36" s="2"/>
      <c r="E36" s="2"/>
      <c r="F36" s="2"/>
      <c r="G36" s="2"/>
      <c r="H36" s="2"/>
    </row>
    <row r="37" spans="1:8" x14ac:dyDescent="0.25">
      <c r="A37" t="s">
        <v>145</v>
      </c>
      <c r="C37" s="2">
        <f>H35*(1+B25)/(H21-B25)</f>
        <v>2194173336416.0779</v>
      </c>
      <c r="D37" s="2"/>
      <c r="E37" s="2"/>
      <c r="F37" s="2"/>
      <c r="G37" s="2"/>
      <c r="H37" s="2"/>
    </row>
    <row r="38" spans="1:8" x14ac:dyDescent="0.25">
      <c r="A38" t="s">
        <v>146</v>
      </c>
      <c r="C38" s="2">
        <f>C37/H34</f>
        <v>1295958779316.522</v>
      </c>
      <c r="D38" s="2"/>
      <c r="E38" s="2"/>
      <c r="F38" s="2"/>
      <c r="G38" s="2"/>
      <c r="H38" s="2"/>
    </row>
    <row r="39" spans="1:8" x14ac:dyDescent="0.25">
      <c r="A39" t="s">
        <v>147</v>
      </c>
      <c r="C39" s="2">
        <f>'BCTC du phong'!G34</f>
        <v>98367152000</v>
      </c>
      <c r="D39" s="2"/>
      <c r="E39" s="2"/>
      <c r="F39" s="2"/>
      <c r="G39" s="2"/>
      <c r="H39" s="2"/>
    </row>
    <row r="40" spans="1:8" x14ac:dyDescent="0.25">
      <c r="A40" t="s">
        <v>148</v>
      </c>
      <c r="C40" s="2">
        <f>C39+C38+C36</f>
        <v>2226919765874.1206</v>
      </c>
      <c r="D40" s="2"/>
      <c r="E40" s="2"/>
      <c r="F40" s="2"/>
      <c r="G40" s="2"/>
      <c r="H40" s="2"/>
    </row>
    <row r="41" spans="1:8" x14ac:dyDescent="0.25">
      <c r="A41" t="s">
        <v>149</v>
      </c>
      <c r="C41" s="2">
        <f>'BCTC du phong'!G135/10^4</f>
        <v>34727465</v>
      </c>
      <c r="D41" s="2"/>
      <c r="E41" s="2"/>
      <c r="F41" s="2"/>
      <c r="G41" s="2"/>
      <c r="H41" s="2"/>
    </row>
    <row r="42" spans="1:8" x14ac:dyDescent="0.25">
      <c r="A42" t="s">
        <v>150</v>
      </c>
      <c r="C42" s="2">
        <f>C40/C41</f>
        <v>64125.606803552189</v>
      </c>
      <c r="D42" s="2"/>
      <c r="E42" s="2"/>
      <c r="F42" s="2"/>
      <c r="G42" s="2"/>
      <c r="H42" s="2"/>
    </row>
    <row r="43" spans="1:8" x14ac:dyDescent="0.25">
      <c r="C43" s="2"/>
      <c r="D43" s="2"/>
      <c r="E43" s="2"/>
      <c r="F43" s="2"/>
      <c r="G43" s="2"/>
      <c r="H43" s="2"/>
    </row>
    <row r="44" spans="1:8" x14ac:dyDescent="0.25">
      <c r="A44" s="6" t="s">
        <v>151</v>
      </c>
      <c r="B44" s="121"/>
      <c r="C44" s="7">
        <f t="shared" ref="C44:H46" si="6">C27</f>
        <v>2019</v>
      </c>
      <c r="D44" s="7">
        <f t="shared" si="6"/>
        <v>2020</v>
      </c>
      <c r="E44" s="7">
        <f t="shared" si="6"/>
        <v>2021</v>
      </c>
      <c r="F44" s="7">
        <f t="shared" si="6"/>
        <v>2022</v>
      </c>
      <c r="G44" s="7">
        <f t="shared" si="6"/>
        <v>2023</v>
      </c>
      <c r="H44" s="9">
        <f t="shared" si="6"/>
        <v>2024</v>
      </c>
    </row>
    <row r="45" spans="1:8" x14ac:dyDescent="0.25">
      <c r="A45" s="15" t="s">
        <v>137</v>
      </c>
      <c r="B45" s="34"/>
      <c r="C45" s="11">
        <f t="shared" si="6"/>
        <v>232634592000</v>
      </c>
      <c r="D45" s="11">
        <f t="shared" si="6"/>
        <v>219401907782.64047</v>
      </c>
      <c r="E45" s="11">
        <f t="shared" si="6"/>
        <v>251587504706.5885</v>
      </c>
      <c r="F45" s="11">
        <f t="shared" si="6"/>
        <v>281426711710.51685</v>
      </c>
      <c r="G45" s="11">
        <f t="shared" si="6"/>
        <v>342445937725.8938</v>
      </c>
      <c r="H45" s="16">
        <f t="shared" si="6"/>
        <v>412440803847.92621</v>
      </c>
    </row>
    <row r="46" spans="1:8" x14ac:dyDescent="0.25">
      <c r="A46" s="15" t="s">
        <v>138</v>
      </c>
      <c r="B46" s="34"/>
      <c r="C46" s="11">
        <f t="shared" si="6"/>
        <v>28550026000</v>
      </c>
      <c r="D46" s="11">
        <f t="shared" si="6"/>
        <v>51401728114.240685</v>
      </c>
      <c r="E46" s="11">
        <f t="shared" si="6"/>
        <v>50122969748.071579</v>
      </c>
      <c r="F46" s="11">
        <f t="shared" si="6"/>
        <v>48168734667.417419</v>
      </c>
      <c r="G46" s="11">
        <f t="shared" si="6"/>
        <v>46943297645.414322</v>
      </c>
      <c r="H46" s="16">
        <f t="shared" si="6"/>
        <v>45300060014.54538</v>
      </c>
    </row>
    <row r="47" spans="1:8" x14ac:dyDescent="0.25">
      <c r="A47" s="15" t="s">
        <v>152</v>
      </c>
      <c r="B47" s="34"/>
      <c r="C47" s="11">
        <f>'BCTC du phong'!G10*(1-'BCTC du phong'!G20)</f>
        <v>942597125.79742491</v>
      </c>
      <c r="D47" s="11">
        <f>'BCTC du phong'!H10*(1-'BCTC du phong'!H20)</f>
        <v>1064374712.4324459</v>
      </c>
      <c r="E47" s="11">
        <f>'BCTC du phong'!I10*(1-'BCTC du phong'!I20)</f>
        <v>1546303384.4657798</v>
      </c>
      <c r="F47" s="11">
        <f>'BCTC du phong'!J10*(1-'BCTC du phong'!J20)</f>
        <v>1451789539.9161072</v>
      </c>
      <c r="G47" s="11">
        <f>'BCTC du phong'!K10*(1-'BCTC du phong'!K20)</f>
        <v>2154369784.0704694</v>
      </c>
      <c r="H47" s="16">
        <f>'BCTC du phong'!L10*(1-'BCTC du phong'!L20)</f>
        <v>2362199576.3774786</v>
      </c>
    </row>
    <row r="48" spans="1:8" x14ac:dyDescent="0.25">
      <c r="A48" s="15" t="s">
        <v>139</v>
      </c>
      <c r="B48" s="34"/>
      <c r="C48" s="11">
        <f t="shared" ref="C48:H49" si="7">C30</f>
        <v>-35203196000</v>
      </c>
      <c r="D48" s="11">
        <f t="shared" si="7"/>
        <v>-27319516800.207493</v>
      </c>
      <c r="E48" s="11">
        <f t="shared" si="7"/>
        <v>-15022453483.258385</v>
      </c>
      <c r="F48" s="11">
        <f t="shared" si="7"/>
        <v>-28290232638.804573</v>
      </c>
      <c r="G48" s="11">
        <f t="shared" si="7"/>
        <v>-20684166536.289276</v>
      </c>
      <c r="H48" s="16">
        <f t="shared" si="7"/>
        <v>-42498808492.388329</v>
      </c>
    </row>
    <row r="49" spans="1:8" x14ac:dyDescent="0.25">
      <c r="A49" s="15" t="s">
        <v>140</v>
      </c>
      <c r="B49" s="34"/>
      <c r="C49" s="11">
        <f t="shared" si="7"/>
        <v>-118542429000</v>
      </c>
      <c r="D49" s="11">
        <f t="shared" si="7"/>
        <v>138311255147.40454</v>
      </c>
      <c r="E49" s="11">
        <f t="shared" si="7"/>
        <v>-239648330975.7301</v>
      </c>
      <c r="F49" s="11">
        <f t="shared" si="7"/>
        <v>46998832845.666283</v>
      </c>
      <c r="G49" s="11">
        <f t="shared" si="7"/>
        <v>-349371582681.98633</v>
      </c>
      <c r="H49" s="16">
        <f t="shared" si="7"/>
        <v>-103347374297.66891</v>
      </c>
    </row>
    <row r="50" spans="1:8" x14ac:dyDescent="0.25">
      <c r="A50" s="15" t="s">
        <v>151</v>
      </c>
      <c r="B50" s="34"/>
      <c r="C50" s="11">
        <f t="shared" ref="C50:H50" si="8">SUM(C45:C49)</f>
        <v>108381590125.79742</v>
      </c>
      <c r="D50" s="11">
        <f t="shared" si="8"/>
        <v>382859748956.51062</v>
      </c>
      <c r="E50" s="11">
        <f t="shared" si="8"/>
        <v>48585993380.13739</v>
      </c>
      <c r="F50" s="11">
        <f t="shared" si="8"/>
        <v>349755836124.71204</v>
      </c>
      <c r="G50" s="11">
        <f t="shared" si="8"/>
        <v>21487855937.103027</v>
      </c>
      <c r="H50" s="16">
        <f t="shared" si="8"/>
        <v>314256880648.79187</v>
      </c>
    </row>
    <row r="51" spans="1:8" x14ac:dyDescent="0.25">
      <c r="A51" s="15" t="s">
        <v>142</v>
      </c>
      <c r="B51" s="34"/>
      <c r="C51" s="11">
        <v>1</v>
      </c>
      <c r="D51" s="130">
        <f>1+D24</f>
        <v>1.111056</v>
      </c>
      <c r="E51" s="130">
        <f>(1+E24)*D51</f>
        <v>1.2344454351360001</v>
      </c>
      <c r="F51" s="130">
        <f>(1+F24)*E51</f>
        <v>1.3715380073804637</v>
      </c>
      <c r="G51" s="130">
        <f>(1+G24)*F51</f>
        <v>1.5238555323281087</v>
      </c>
      <c r="H51" s="131">
        <f>(1+H24)*G51</f>
        <v>1.6930888323263391</v>
      </c>
    </row>
    <row r="52" spans="1:8" x14ac:dyDescent="0.25">
      <c r="A52" s="26" t="s">
        <v>153</v>
      </c>
      <c r="B52" s="50"/>
      <c r="C52" s="27">
        <f t="shared" ref="C52:H52" si="9">C50/C51</f>
        <v>108381590125.79742</v>
      </c>
      <c r="D52" s="27">
        <f t="shared" si="9"/>
        <v>344590865767.80164</v>
      </c>
      <c r="E52" s="27">
        <f t="shared" si="9"/>
        <v>39358558910.126816</v>
      </c>
      <c r="F52" s="27">
        <f t="shared" si="9"/>
        <v>255009948133.13257</v>
      </c>
      <c r="G52" s="27">
        <f t="shared" si="9"/>
        <v>14100979706.569962</v>
      </c>
      <c r="H52" s="29">
        <f t="shared" si="9"/>
        <v>185611572558.18433</v>
      </c>
    </row>
    <row r="53" spans="1:8" x14ac:dyDescent="0.25">
      <c r="A53" t="s">
        <v>154</v>
      </c>
      <c r="C53" s="2">
        <f>SUM(D52:H52)</f>
        <v>838671925075.81531</v>
      </c>
      <c r="D53" s="2"/>
      <c r="E53" s="2"/>
      <c r="F53" s="2"/>
      <c r="G53" s="2"/>
      <c r="H53" s="2"/>
    </row>
    <row r="54" spans="1:8" x14ac:dyDescent="0.25">
      <c r="A54" t="s">
        <v>145</v>
      </c>
      <c r="C54" s="2">
        <f>H52*(1+B25)/(H24-B25)</f>
        <v>2210791366925.478</v>
      </c>
      <c r="D54" s="2"/>
      <c r="E54" s="2"/>
      <c r="F54" s="2"/>
      <c r="G54" s="2"/>
      <c r="H54" s="2"/>
    </row>
    <row r="55" spans="1:8" x14ac:dyDescent="0.25">
      <c r="A55" t="s">
        <v>146</v>
      </c>
      <c r="C55" s="2">
        <f>C54/H51</f>
        <v>1305773994083.8218</v>
      </c>
      <c r="D55" s="2"/>
      <c r="E55" s="2"/>
      <c r="F55" s="2"/>
      <c r="G55" s="2"/>
      <c r="H55" s="2"/>
    </row>
    <row r="56" spans="1:8" x14ac:dyDescent="0.25">
      <c r="A56" t="s">
        <v>155</v>
      </c>
      <c r="C56" s="2">
        <f>C55+C53</f>
        <v>2144445919159.6372</v>
      </c>
      <c r="D56" s="2"/>
      <c r="E56" s="2"/>
      <c r="F56" s="2"/>
      <c r="G56" s="2"/>
      <c r="H56" s="2"/>
    </row>
    <row r="57" spans="1:8" x14ac:dyDescent="0.25">
      <c r="A57" t="s">
        <v>147</v>
      </c>
      <c r="C57" s="2">
        <f>C39</f>
        <v>98367152000</v>
      </c>
      <c r="D57" s="2"/>
      <c r="E57" s="2"/>
      <c r="F57" s="2"/>
      <c r="G57" s="2"/>
      <c r="H57" s="2"/>
    </row>
    <row r="58" spans="1:8" x14ac:dyDescent="0.25">
      <c r="A58" t="s">
        <v>156</v>
      </c>
      <c r="C58" s="2">
        <f>'BCTC du phong'!G125+'BCTC du phong'!G112</f>
        <v>0</v>
      </c>
      <c r="D58" s="2"/>
      <c r="E58" s="2"/>
      <c r="F58" s="2"/>
      <c r="G58" s="2"/>
      <c r="H58" s="2"/>
    </row>
    <row r="59" spans="1:8" x14ac:dyDescent="0.25">
      <c r="A59" t="s">
        <v>148</v>
      </c>
      <c r="C59" s="2">
        <f>C56+C57-C58</f>
        <v>2242813071159.6372</v>
      </c>
      <c r="D59" s="2"/>
      <c r="E59" s="2"/>
      <c r="F59" s="2"/>
      <c r="G59" s="2"/>
      <c r="H59" s="2"/>
    </row>
    <row r="60" spans="1:8" x14ac:dyDescent="0.25">
      <c r="A60" t="s">
        <v>149</v>
      </c>
      <c r="C60" s="2">
        <f>C41</f>
        <v>34727465</v>
      </c>
      <c r="D60" s="2"/>
      <c r="E60" s="2"/>
      <c r="F60" s="2"/>
      <c r="G60" s="2"/>
      <c r="H60" s="2"/>
    </row>
    <row r="61" spans="1:8" x14ac:dyDescent="0.25">
      <c r="A61" t="s">
        <v>150</v>
      </c>
      <c r="C61" s="2">
        <f>C59/C60</f>
        <v>64583.264893064821</v>
      </c>
      <c r="D61" s="2"/>
      <c r="E61" s="2"/>
      <c r="F61" s="2"/>
      <c r="G61" s="2"/>
      <c r="H61" s="2"/>
    </row>
  </sheetData>
  <dataValidations count="2">
    <dataValidation type="list" allowBlank="1" showInputMessage="1" showErrorMessage="1" sqref="F3" xr:uid="{00000000-0002-0000-0600-000000000000}">
      <formula1>"Best case, Base case, Worst case"</formula1>
    </dataValidation>
    <dataValidation type="list" showInputMessage="1" showErrorMessage="1" sqref="F2" xr:uid="{00000000-0002-0000-0600-000001000000}">
      <formula1>"Tăng trưởng đều, Theo trend, Theo tăng trưởng quý"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2:P34"/>
  <sheetViews>
    <sheetView zoomScaleNormal="100" workbookViewId="0">
      <selection activeCell="D25" sqref="D25"/>
    </sheetView>
  </sheetViews>
  <sheetFormatPr defaultRowHeight="15" x14ac:dyDescent="0.25"/>
  <cols>
    <col min="3" max="3" width="41.5703125" customWidth="1"/>
    <col min="4" max="4" width="16" customWidth="1"/>
    <col min="5" max="5" width="16.28515625" customWidth="1"/>
    <col min="6" max="6" width="25.28515625" customWidth="1"/>
    <col min="7" max="7" width="23.85546875" customWidth="1"/>
  </cols>
  <sheetData>
    <row r="2" spans="1:16" x14ac:dyDescent="0.25">
      <c r="A2" s="177" t="s">
        <v>157</v>
      </c>
      <c r="B2" s="191" t="s">
        <v>158</v>
      </c>
      <c r="C2" s="192"/>
      <c r="D2" s="178" t="s">
        <v>159</v>
      </c>
      <c r="E2" s="179" t="s">
        <v>160</v>
      </c>
      <c r="F2" s="178" t="s">
        <v>161</v>
      </c>
      <c r="G2" s="178" t="s">
        <v>162</v>
      </c>
      <c r="J2" s="21"/>
      <c r="L2" s="21"/>
    </row>
    <row r="3" spans="1:16" x14ac:dyDescent="0.25">
      <c r="A3" s="168" t="s">
        <v>163</v>
      </c>
      <c r="B3" s="168" t="s">
        <v>164</v>
      </c>
      <c r="C3" s="170"/>
      <c r="D3" s="170"/>
      <c r="E3" s="180"/>
      <c r="F3" s="170"/>
      <c r="G3" s="170"/>
    </row>
    <row r="4" spans="1:16" ht="30" x14ac:dyDescent="0.25">
      <c r="A4" s="181">
        <v>1</v>
      </c>
      <c r="B4" s="169" t="s">
        <v>48</v>
      </c>
      <c r="C4" s="170"/>
      <c r="D4" s="171">
        <f>'Vốn lưu động'!F5</f>
        <v>2.3399834229151533</v>
      </c>
      <c r="E4" s="171">
        <f>'Vốn lưu động'!G5</f>
        <v>2.3399834229151533</v>
      </c>
      <c r="F4" s="170" t="s">
        <v>358</v>
      </c>
      <c r="G4" s="172" t="s">
        <v>363</v>
      </c>
    </row>
    <row r="5" spans="1:16" ht="30" x14ac:dyDescent="0.25">
      <c r="A5" s="181">
        <v>2</v>
      </c>
      <c r="B5" s="169" t="s">
        <v>49</v>
      </c>
      <c r="C5" s="170"/>
      <c r="D5" s="171">
        <f>'Vốn lưu động'!F8</f>
        <v>117.1903532076749</v>
      </c>
      <c r="E5" s="171">
        <f>'Vốn lưu động'!G8</f>
        <v>117.1903532076749</v>
      </c>
      <c r="F5" s="170" t="s">
        <v>358</v>
      </c>
      <c r="G5" s="172" t="s">
        <v>363</v>
      </c>
    </row>
    <row r="6" spans="1:16" ht="30" x14ac:dyDescent="0.25">
      <c r="A6" s="181">
        <v>3</v>
      </c>
      <c r="B6" s="169" t="s">
        <v>51</v>
      </c>
      <c r="C6" s="170"/>
      <c r="D6" s="171">
        <f>'Vốn lưu động'!F30</f>
        <v>4.0181115235733413</v>
      </c>
      <c r="E6" s="171">
        <f>'Vốn lưu động'!G30</f>
        <v>4.0181115235733413</v>
      </c>
      <c r="F6" s="170" t="s">
        <v>358</v>
      </c>
      <c r="G6" s="172" t="s">
        <v>363</v>
      </c>
    </row>
    <row r="7" spans="1:16" ht="30" x14ac:dyDescent="0.25">
      <c r="A7" s="181">
        <v>4</v>
      </c>
      <c r="B7" s="169" t="s">
        <v>54</v>
      </c>
      <c r="C7" s="170"/>
      <c r="D7" s="171">
        <f>'Vốn lưu động'!F55</f>
        <v>4.46740550554272</v>
      </c>
      <c r="E7" s="171">
        <f>'Vốn lưu động'!G55</f>
        <v>4.46740550554272</v>
      </c>
      <c r="F7" s="170" t="s">
        <v>358</v>
      </c>
      <c r="G7" s="172" t="s">
        <v>363</v>
      </c>
      <c r="J7" s="21"/>
    </row>
    <row r="8" spans="1:16" x14ac:dyDescent="0.25">
      <c r="A8" s="168" t="s">
        <v>165</v>
      </c>
      <c r="B8" s="182" t="s">
        <v>166</v>
      </c>
      <c r="C8" s="170"/>
      <c r="D8" s="171"/>
      <c r="E8" s="171"/>
      <c r="F8" s="170"/>
      <c r="G8" s="170"/>
      <c r="K8" s="56"/>
      <c r="L8" s="56"/>
      <c r="M8" s="56"/>
      <c r="N8" s="56"/>
      <c r="O8" s="56"/>
      <c r="P8" s="56"/>
    </row>
    <row r="9" spans="1:16" ht="31.5" customHeight="1" x14ac:dyDescent="0.25">
      <c r="A9" s="174">
        <v>1</v>
      </c>
      <c r="B9" s="195" t="s">
        <v>167</v>
      </c>
      <c r="C9" s="196"/>
      <c r="D9" s="166"/>
      <c r="E9" s="166">
        <f>TSCĐ!E21</f>
        <v>18.205014404269651</v>
      </c>
      <c r="F9" s="167" t="s">
        <v>360</v>
      </c>
      <c r="G9" s="170"/>
      <c r="K9" s="56"/>
      <c r="L9" s="56"/>
      <c r="M9" s="56"/>
      <c r="N9" s="56"/>
      <c r="O9" s="56"/>
      <c r="P9" s="56"/>
    </row>
    <row r="10" spans="1:16" x14ac:dyDescent="0.25">
      <c r="A10" s="168" t="s">
        <v>168</v>
      </c>
      <c r="B10" s="182" t="s">
        <v>77</v>
      </c>
      <c r="C10" s="170"/>
      <c r="D10" s="180"/>
      <c r="E10" s="180"/>
      <c r="F10" s="170"/>
      <c r="G10" s="170"/>
      <c r="K10" s="56"/>
      <c r="L10" s="56"/>
      <c r="M10" s="56"/>
      <c r="N10" s="56"/>
      <c r="O10" s="56"/>
      <c r="P10" s="56"/>
    </row>
    <row r="11" spans="1:16" ht="30" x14ac:dyDescent="0.25">
      <c r="A11" s="181">
        <v>1</v>
      </c>
      <c r="B11" s="169" t="s">
        <v>169</v>
      </c>
      <c r="C11" s="170"/>
      <c r="D11" s="183">
        <f>TSCĐ!F36</f>
        <v>2.3974004568308546E-2</v>
      </c>
      <c r="E11" s="183">
        <f>TSCĐ!G36</f>
        <v>1.9082292771048424E-2</v>
      </c>
      <c r="F11" s="170" t="s">
        <v>358</v>
      </c>
      <c r="G11" s="172" t="s">
        <v>363</v>
      </c>
      <c r="K11" s="56"/>
      <c r="L11" s="56"/>
      <c r="M11" s="56"/>
      <c r="N11" s="56"/>
      <c r="O11" s="56"/>
      <c r="P11" s="56"/>
    </row>
    <row r="12" spans="1:16" x14ac:dyDescent="0.25">
      <c r="A12" s="168" t="s">
        <v>170</v>
      </c>
      <c r="B12" s="182" t="s">
        <v>80</v>
      </c>
      <c r="C12" s="170"/>
      <c r="D12" s="180"/>
      <c r="E12" s="180"/>
      <c r="F12" s="170"/>
      <c r="G12" s="170"/>
      <c r="K12" s="56"/>
      <c r="L12" s="56"/>
      <c r="M12" s="56"/>
      <c r="N12" s="56"/>
      <c r="O12" s="56"/>
      <c r="P12" s="56"/>
    </row>
    <row r="13" spans="1:16" ht="30" x14ac:dyDescent="0.25">
      <c r="A13" s="184">
        <v>1</v>
      </c>
      <c r="B13" s="185" t="s">
        <v>90</v>
      </c>
      <c r="C13" s="170"/>
      <c r="D13" s="186">
        <f>'Vốn CSH'!F39</f>
        <v>0.37319756384295588</v>
      </c>
      <c r="E13" s="186">
        <f>'Vốn CSH'!G39</f>
        <v>0.37634831631198745</v>
      </c>
      <c r="F13" s="170" t="s">
        <v>361</v>
      </c>
      <c r="G13" s="172" t="s">
        <v>364</v>
      </c>
    </row>
    <row r="14" spans="1:16" ht="30" x14ac:dyDescent="0.25">
      <c r="A14" s="184">
        <v>2</v>
      </c>
      <c r="B14" s="187" t="s">
        <v>86</v>
      </c>
      <c r="C14" s="170"/>
      <c r="D14" s="186">
        <f>'Vốn CSH'!F34</f>
        <v>2.6308447584613726</v>
      </c>
      <c r="E14" s="186">
        <f>'Vốn CSH'!G34</f>
        <v>2.9165769437420481</v>
      </c>
      <c r="F14" s="170" t="s">
        <v>362</v>
      </c>
      <c r="G14" s="172" t="s">
        <v>364</v>
      </c>
    </row>
    <row r="15" spans="1:16" ht="30" x14ac:dyDescent="0.25">
      <c r="A15" s="184">
        <v>3</v>
      </c>
      <c r="B15" s="187" t="s">
        <v>88</v>
      </c>
      <c r="C15" s="170"/>
      <c r="D15" s="188">
        <f>'Vốn CSH'!F36</f>
        <v>3.0029506531857479E-2</v>
      </c>
      <c r="E15" s="183">
        <f>'Vốn CSH'!G36</f>
        <v>3.0029506531857479E-2</v>
      </c>
      <c r="F15" s="170" t="s">
        <v>362</v>
      </c>
      <c r="G15" s="172" t="s">
        <v>364</v>
      </c>
    </row>
    <row r="16" spans="1:16" x14ac:dyDescent="0.25">
      <c r="A16" s="168" t="s">
        <v>171</v>
      </c>
      <c r="B16" s="182" t="s">
        <v>156</v>
      </c>
      <c r="C16" s="170"/>
      <c r="D16" s="180"/>
      <c r="E16" s="180"/>
      <c r="F16" s="170"/>
      <c r="G16" s="170"/>
    </row>
    <row r="17" spans="1:7" ht="75" x14ac:dyDescent="0.25">
      <c r="A17" s="173">
        <v>1</v>
      </c>
      <c r="B17" s="175" t="s">
        <v>100</v>
      </c>
      <c r="C17" s="165"/>
      <c r="D17" s="176">
        <f>'DT&amp;CP tài chính'!F19</f>
        <v>0</v>
      </c>
      <c r="E17" s="176">
        <f>'DT&amp;CP tài chính'!G19</f>
        <v>4.2630604455403454E-2</v>
      </c>
      <c r="F17" s="165" t="s">
        <v>359</v>
      </c>
      <c r="G17" s="172" t="s">
        <v>370</v>
      </c>
    </row>
    <row r="18" spans="1:7" ht="30" x14ac:dyDescent="0.25">
      <c r="A18" s="181">
        <v>2</v>
      </c>
      <c r="B18" s="189" t="s">
        <v>99</v>
      </c>
      <c r="C18" s="170"/>
      <c r="D18" s="183">
        <f>'DT&amp;CP tài chính'!F16</f>
        <v>5.8018878202585659E-2</v>
      </c>
      <c r="E18" s="183">
        <f>'DT&amp;CP tài chính'!G16</f>
        <v>5.8018878202585659E-2</v>
      </c>
      <c r="F18" s="170" t="s">
        <v>358</v>
      </c>
      <c r="G18" s="172" t="s">
        <v>363</v>
      </c>
    </row>
    <row r="19" spans="1:7" x14ac:dyDescent="0.25">
      <c r="A19" s="168" t="s">
        <v>172</v>
      </c>
      <c r="B19" s="182" t="s">
        <v>173</v>
      </c>
      <c r="C19" s="170"/>
      <c r="D19" s="180"/>
      <c r="E19" s="180"/>
      <c r="F19" s="170"/>
      <c r="G19" s="170"/>
    </row>
    <row r="20" spans="1:7" ht="30" x14ac:dyDescent="0.25">
      <c r="A20" s="181">
        <v>1</v>
      </c>
      <c r="B20" s="189" t="s">
        <v>174</v>
      </c>
      <c r="C20" s="170"/>
      <c r="D20" s="183">
        <f>'DT&amp;CP tài chính'!E24</f>
        <v>0.02</v>
      </c>
      <c r="E20" s="183">
        <f>'DT&amp;CP tài chính'!E24</f>
        <v>0.02</v>
      </c>
      <c r="F20" s="170" t="s">
        <v>358</v>
      </c>
      <c r="G20" s="172" t="s">
        <v>363</v>
      </c>
    </row>
    <row r="21" spans="1:7" ht="30" x14ac:dyDescent="0.25">
      <c r="A21" s="181">
        <v>2</v>
      </c>
      <c r="B21" s="189" t="s">
        <v>114</v>
      </c>
      <c r="C21" s="170"/>
      <c r="D21" s="183">
        <f>'DT&amp;CP tài chính'!G32</f>
        <v>5.8018878202585659E-2</v>
      </c>
      <c r="E21" s="183">
        <f>'DT&amp;CP tài chính'!G32</f>
        <v>5.8018878202585659E-2</v>
      </c>
      <c r="F21" s="170" t="s">
        <v>358</v>
      </c>
      <c r="G21" s="172" t="s">
        <v>363</v>
      </c>
    </row>
    <row r="22" spans="1:7" ht="30" x14ac:dyDescent="0.25">
      <c r="A22" s="181">
        <v>3</v>
      </c>
      <c r="B22" s="189" t="s">
        <v>115</v>
      </c>
      <c r="C22" s="170"/>
      <c r="D22" s="183">
        <f>'DT&amp;CP tài chính'!F33</f>
        <v>0</v>
      </c>
      <c r="E22" s="183">
        <f>'DT&amp;CP tài chính'!G33</f>
        <v>0</v>
      </c>
      <c r="F22" s="170" t="s">
        <v>358</v>
      </c>
      <c r="G22" s="172" t="s">
        <v>363</v>
      </c>
    </row>
    <row r="23" spans="1:7" x14ac:dyDescent="0.25">
      <c r="A23" s="168" t="s">
        <v>175</v>
      </c>
      <c r="B23" s="168" t="s">
        <v>176</v>
      </c>
      <c r="C23" s="170"/>
      <c r="D23" s="183">
        <f>'Doanh thu'!F7</f>
        <v>6.0141875079662288E-2</v>
      </c>
      <c r="E23" s="183">
        <f>'Doanh thu'!G7</f>
        <v>-2.5008231632909661E-2</v>
      </c>
      <c r="F23" s="172" t="s">
        <v>369</v>
      </c>
      <c r="G23" s="170"/>
    </row>
    <row r="24" spans="1:7" ht="45" x14ac:dyDescent="0.25">
      <c r="A24" s="181">
        <v>1</v>
      </c>
      <c r="B24" s="193" t="s">
        <v>355</v>
      </c>
      <c r="C24" s="194"/>
      <c r="D24" s="183">
        <f>'Doanh thu'!F11</f>
        <v>-5.0226380923634184E-2</v>
      </c>
      <c r="E24" s="183">
        <f>'Doanh thu'!G11</f>
        <v>-0.2</v>
      </c>
      <c r="F24" s="172" t="s">
        <v>365</v>
      </c>
      <c r="G24" s="172" t="s">
        <v>366</v>
      </c>
    </row>
    <row r="25" spans="1:7" ht="45" x14ac:dyDescent="0.25">
      <c r="A25" s="181">
        <v>2</v>
      </c>
      <c r="B25" s="193" t="s">
        <v>356</v>
      </c>
      <c r="C25" s="194"/>
      <c r="D25" s="183">
        <f>'Doanh thu'!F14</f>
        <v>0.62757278534775685</v>
      </c>
      <c r="E25" s="183">
        <f>'Doanh thu'!G14</f>
        <v>0.5</v>
      </c>
      <c r="F25" s="172" t="s">
        <v>368</v>
      </c>
      <c r="G25" s="172" t="s">
        <v>367</v>
      </c>
    </row>
    <row r="26" spans="1:7" x14ac:dyDescent="0.25">
      <c r="A26" s="168" t="s">
        <v>177</v>
      </c>
      <c r="B26" s="168" t="s">
        <v>116</v>
      </c>
      <c r="C26" s="170"/>
      <c r="D26" s="180"/>
      <c r="E26" s="180"/>
      <c r="F26" s="170"/>
      <c r="G26" s="170"/>
    </row>
    <row r="27" spans="1:7" x14ac:dyDescent="0.25">
      <c r="A27" s="181">
        <v>1</v>
      </c>
      <c r="B27" s="189" t="s">
        <v>357</v>
      </c>
      <c r="C27" s="170"/>
      <c r="D27" s="183"/>
      <c r="E27" s="183">
        <v>1</v>
      </c>
      <c r="F27" s="170"/>
      <c r="G27" s="170" t="s">
        <v>371</v>
      </c>
    </row>
    <row r="28" spans="1:7" x14ac:dyDescent="0.25">
      <c r="A28" s="181">
        <v>2</v>
      </c>
      <c r="B28" s="189" t="s">
        <v>178</v>
      </c>
      <c r="C28" s="170"/>
      <c r="D28" s="183"/>
      <c r="E28" s="190">
        <f>'Định giá'!B25</f>
        <v>2.5000000000000001E-2</v>
      </c>
      <c r="F28" s="170"/>
      <c r="G28" s="170" t="s">
        <v>372</v>
      </c>
    </row>
    <row r="29" spans="1:7" x14ac:dyDescent="0.25">
      <c r="A29" s="168" t="s">
        <v>179</v>
      </c>
      <c r="B29" s="168" t="s">
        <v>180</v>
      </c>
      <c r="C29" s="170"/>
      <c r="D29" s="180"/>
      <c r="E29" s="180"/>
      <c r="F29" s="170"/>
      <c r="G29" s="170"/>
    </row>
    <row r="30" spans="1:7" ht="30" x14ac:dyDescent="0.25">
      <c r="A30" s="189"/>
      <c r="B30" s="189" t="s">
        <v>3</v>
      </c>
      <c r="C30" s="170"/>
      <c r="D30" s="183">
        <f>'BCTC du phong'!G20</f>
        <v>0.18694946771385557</v>
      </c>
      <c r="E30" s="183">
        <f>'BCTC du phong'!H20</f>
        <v>0.18694946771385557</v>
      </c>
      <c r="F30" s="170" t="s">
        <v>358</v>
      </c>
      <c r="G30" s="172" t="s">
        <v>363</v>
      </c>
    </row>
    <row r="31" spans="1:7" ht="30" x14ac:dyDescent="0.25">
      <c r="A31" s="189"/>
      <c r="B31" s="189" t="s">
        <v>181</v>
      </c>
      <c r="C31" s="170"/>
      <c r="D31" s="183">
        <f>'BCTC du phong'!G24</f>
        <v>0</v>
      </c>
      <c r="E31" s="183">
        <f>'BCTC du phong'!H24</f>
        <v>0</v>
      </c>
      <c r="F31" s="170" t="s">
        <v>358</v>
      </c>
      <c r="G31" s="172" t="s">
        <v>363</v>
      </c>
    </row>
    <row r="32" spans="1:7" x14ac:dyDescent="0.25">
      <c r="A32" s="15"/>
      <c r="B32" s="15"/>
      <c r="C32" s="35"/>
      <c r="D32" s="35"/>
      <c r="E32" s="136"/>
      <c r="F32" s="35"/>
      <c r="G32" s="35"/>
    </row>
    <row r="33" spans="1:7" x14ac:dyDescent="0.25">
      <c r="A33" s="15"/>
      <c r="B33" s="15"/>
      <c r="C33" s="35"/>
      <c r="D33" s="35"/>
      <c r="E33" s="136"/>
      <c r="F33" s="35"/>
      <c r="G33" s="35"/>
    </row>
    <row r="34" spans="1:7" x14ac:dyDescent="0.25">
      <c r="A34" s="26"/>
      <c r="B34" s="26"/>
      <c r="C34" s="51"/>
      <c r="D34" s="51"/>
      <c r="E34" s="94"/>
      <c r="F34" s="51"/>
      <c r="G34" s="51"/>
    </row>
  </sheetData>
  <mergeCells count="4">
    <mergeCell ref="B2:C2"/>
    <mergeCell ref="B24:C24"/>
    <mergeCell ref="B25:C25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BCTC du phong</vt:lpstr>
      <vt:lpstr>Doanh thu</vt:lpstr>
      <vt:lpstr>Vốn lưu động</vt:lpstr>
      <vt:lpstr>TSCĐ</vt:lpstr>
      <vt:lpstr>Vốn CSH</vt:lpstr>
      <vt:lpstr>DT&amp;CP tài chính</vt:lpstr>
      <vt:lpstr>Định giá</vt:lpstr>
      <vt:lpstr>Giả định vs biểu đồ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Phat Tran</cp:lastModifiedBy>
  <dcterms:created xsi:type="dcterms:W3CDTF">2020-10-13T06:33:08Z</dcterms:created>
  <dcterms:modified xsi:type="dcterms:W3CDTF">2026-05-10T17:45:49Z</dcterms:modified>
</cp:coreProperties>
</file>